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\JoSI\DHIS 2 MISSING INDICATORS\"/>
    </mc:Choice>
  </mc:AlternateContent>
  <xr:revisionPtr revIDLastSave="0" documentId="8_{ED714E0E-97E4-4B91-99D6-4A3E224F64D9}" xr6:coauthVersionLast="47" xr6:coauthVersionMax="47" xr10:uidLastSave="{00000000-0000-0000-0000-000000000000}"/>
  <bookViews>
    <workbookView xWindow="-120" yWindow="-120" windowWidth="20730" windowHeight="11040" activeTab="1" xr2:uid="{D2840EB0-84E8-4A14-95AA-739E58635683}"/>
  </bookViews>
  <sheets>
    <sheet name="main" sheetId="1" r:id="rId1"/>
    <sheet name="working space" sheetId="2" r:id="rId2"/>
    <sheet name="ordering" sheetId="3" r:id="rId3"/>
    <sheet name="Temp" sheetId="5" r:id="rId4"/>
    <sheet name="Sheet1" sheetId="6" r:id="rId5"/>
    <sheet name="Sheet2" sheetId="7" r:id="rId6"/>
  </sheets>
  <functionGroups builtInGroupCount="19"/>
  <definedNames>
    <definedName name="_xlnm._FilterDatabase" localSheetId="0" hidden="1">main!$A$1:$G$603</definedName>
    <definedName name="_xlnm._FilterDatabase" localSheetId="1" hidden="1">'working space'!$A$1:$G$82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93" i="2" l="1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92" i="2"/>
  <c r="K3" i="2"/>
  <c r="I6" i="2" a="1"/>
  <c r="I6" i="2" s="1"/>
  <c r="J6" i="2" a="1"/>
  <c r="J6" i="2" s="1"/>
  <c r="I9" i="2" a="1"/>
  <c r="I9" i="2"/>
  <c r="J9" i="2" a="1"/>
  <c r="J9" i="2"/>
  <c r="I12" i="2" a="1"/>
  <c r="I12" i="2"/>
  <c r="J12" i="2" a="1"/>
  <c r="J12" i="2"/>
  <c r="I16" i="2" a="1"/>
  <c r="I16" i="2"/>
  <c r="J16" i="2" a="1"/>
  <c r="J16" i="2" s="1"/>
  <c r="I20" i="2" a="1"/>
  <c r="I20" i="2" s="1"/>
  <c r="J20" i="2" a="1"/>
  <c r="J20" i="2" s="1"/>
  <c r="I23" i="2" a="1"/>
  <c r="I23" i="2" s="1"/>
  <c r="J23" i="2" a="1"/>
  <c r="J23" i="2" s="1"/>
  <c r="I26" i="2" a="1"/>
  <c r="I26" i="2"/>
  <c r="J26" i="2" a="1"/>
  <c r="J26" i="2" s="1"/>
  <c r="I30" i="2" a="1"/>
  <c r="I30" i="2" s="1"/>
  <c r="J30" i="2" a="1"/>
  <c r="J30" i="2" s="1"/>
  <c r="I34" i="2" a="1"/>
  <c r="I34" i="2" s="1"/>
  <c r="J34" i="2" a="1"/>
  <c r="J34" i="2"/>
  <c r="I37" i="2" a="1"/>
  <c r="I37" i="2" s="1"/>
  <c r="J37" i="2" a="1"/>
  <c r="J37" i="2" s="1"/>
  <c r="I40" i="2" a="1"/>
  <c r="I40" i="2" s="1"/>
  <c r="J40" i="2" a="1"/>
  <c r="J40" i="2" s="1"/>
  <c r="I43" i="2" a="1"/>
  <c r="I43" i="2" s="1"/>
  <c r="J43" i="2" a="1"/>
  <c r="J43" i="2" s="1"/>
  <c r="I46" i="2" a="1"/>
  <c r="I46" i="2"/>
  <c r="J46" i="2" a="1"/>
  <c r="J46" i="2" s="1"/>
  <c r="I49" i="2" a="1"/>
  <c r="I49" i="2"/>
  <c r="J49" i="2" a="1"/>
  <c r="J49" i="2"/>
  <c r="I52" i="2" a="1"/>
  <c r="I52" i="2"/>
  <c r="J52" i="2" a="1"/>
  <c r="J52" i="2"/>
  <c r="I56" i="2" a="1"/>
  <c r="I56" i="2"/>
  <c r="J56" i="2" a="1"/>
  <c r="J56" i="2" s="1"/>
  <c r="I60" i="2" a="1"/>
  <c r="I60" i="2" s="1"/>
  <c r="J60" i="2" a="1"/>
  <c r="J60" i="2" s="1"/>
  <c r="I64" i="2" a="1"/>
  <c r="I64" i="2" s="1"/>
  <c r="J64" i="2" a="1"/>
  <c r="J64" i="2"/>
  <c r="I68" i="2" a="1"/>
  <c r="I68" i="2"/>
  <c r="J68" i="2" a="1"/>
  <c r="J68" i="2" s="1"/>
  <c r="I72" i="2" a="1"/>
  <c r="I72" i="2"/>
  <c r="J72" i="2" a="1"/>
  <c r="J72" i="2"/>
  <c r="I76" i="2" a="1"/>
  <c r="I76" i="2" s="1"/>
  <c r="J76" i="2" a="1"/>
  <c r="J76" i="2" s="1"/>
  <c r="I80" i="2" a="1"/>
  <c r="I80" i="2" s="1"/>
  <c r="J80" i="2" a="1"/>
  <c r="J80" i="2" s="1"/>
  <c r="I84" i="2" a="1"/>
  <c r="I84" i="2" s="1"/>
  <c r="J84" i="2" a="1"/>
  <c r="J84" i="2"/>
  <c r="I88" i="2" a="1"/>
  <c r="I88" i="2"/>
  <c r="J88" i="2" a="1"/>
  <c r="J88" i="2" s="1"/>
  <c r="I4" i="2" a="1"/>
  <c r="J7" i="2" a="1"/>
  <c r="I11" i="2" a="1"/>
  <c r="J14" i="2" a="1"/>
  <c r="I21" i="2" a="1"/>
  <c r="J24" i="2" a="1"/>
  <c r="I31" i="2" a="1"/>
  <c r="I41" i="2" a="1"/>
  <c r="J44" i="2" a="1"/>
  <c r="I51" i="2" a="1"/>
  <c r="J54" i="2" a="1"/>
  <c r="I61" i="2" a="1"/>
  <c r="I71" i="2" a="1"/>
  <c r="J74" i="2" a="1"/>
  <c r="I81" i="2" a="1"/>
  <c r="I91" i="2" a="1"/>
  <c r="I90" i="2" a="1"/>
  <c r="J4" i="2" a="1"/>
  <c r="I8" i="2" a="1"/>
  <c r="J11" i="2" a="1"/>
  <c r="I18" i="2" a="1"/>
  <c r="J21" i="2" a="1"/>
  <c r="I28" i="2" a="1"/>
  <c r="J31" i="2" a="1"/>
  <c r="I38" i="2" a="1"/>
  <c r="J41" i="2" a="1"/>
  <c r="I48" i="2" a="1"/>
  <c r="J51" i="2" a="1"/>
  <c r="I58" i="2" a="1"/>
  <c r="J61" i="2" a="1"/>
  <c r="J71" i="2" a="1"/>
  <c r="I78" i="2" a="1"/>
  <c r="J81" i="2" a="1"/>
  <c r="J91" i="2" a="1"/>
  <c r="J69" i="2" a="1"/>
  <c r="I33" i="2" a="1"/>
  <c r="J86" i="2" a="1"/>
  <c r="J13" i="2" a="1"/>
  <c r="J63" i="2" a="1"/>
  <c r="I5" i="2" a="1"/>
  <c r="J8" i="2" a="1"/>
  <c r="I15" i="2" a="1"/>
  <c r="J18" i="2" a="1"/>
  <c r="I25" i="2" a="1"/>
  <c r="J28" i="2" a="1"/>
  <c r="I35" i="2" a="1"/>
  <c r="J38" i="2" a="1"/>
  <c r="I45" i="2" a="1"/>
  <c r="J48" i="2" a="1"/>
  <c r="I55" i="2" a="1"/>
  <c r="J58" i="2" a="1"/>
  <c r="I65" i="2" a="1"/>
  <c r="I75" i="2" a="1"/>
  <c r="J78" i="2" a="1"/>
  <c r="I85" i="2" a="1"/>
  <c r="I69" i="2" a="1"/>
  <c r="I89" i="2" a="1"/>
  <c r="J19" i="2" a="1"/>
  <c r="J39" i="2" a="1"/>
  <c r="I86" i="2" a="1"/>
  <c r="I53" i="2" a="1"/>
  <c r="I73" i="2" a="1"/>
  <c r="J55" i="2" a="1"/>
  <c r="J75" i="2" a="1"/>
  <c r="I82" i="2" a="1"/>
  <c r="I79" i="2" a="1"/>
  <c r="I36" i="2" a="1"/>
  <c r="I63" i="2" a="1"/>
  <c r="I10" i="2" a="1"/>
  <c r="J83" i="2" a="1"/>
  <c r="J5" i="2" a="1"/>
  <c r="J15" i="2" a="1"/>
  <c r="I22" i="2" a="1"/>
  <c r="J25" i="2" a="1"/>
  <c r="I32" i="2" a="1"/>
  <c r="J35" i="2" a="1"/>
  <c r="I42" i="2" a="1"/>
  <c r="J45" i="2" a="1"/>
  <c r="I62" i="2" a="1"/>
  <c r="J65" i="2" a="1"/>
  <c r="J85" i="2" a="1"/>
  <c r="I59" i="2" a="1"/>
  <c r="J82" i="2" a="1"/>
  <c r="J29" i="2" a="1"/>
  <c r="J79" i="2" a="1"/>
  <c r="I13" i="2" a="1"/>
  <c r="I83" i="2" a="1"/>
  <c r="I19" i="2" a="1"/>
  <c r="J22" i="2" a="1"/>
  <c r="I29" i="2" a="1"/>
  <c r="J32" i="2" a="1"/>
  <c r="I39" i="2" a="1"/>
  <c r="J42" i="2" a="1"/>
  <c r="J62" i="2" a="1"/>
  <c r="I66" i="2" a="1"/>
  <c r="J53" i="2" a="1"/>
  <c r="I70" i="2" a="1"/>
  <c r="J66" i="2" a="1"/>
  <c r="I50" i="2" a="1"/>
  <c r="J33" i="2" a="1"/>
  <c r="J73" i="2" a="1"/>
  <c r="J89" i="2" a="1"/>
  <c r="I7" i="2" a="1"/>
  <c r="J10" i="2" a="1"/>
  <c r="I17" i="2" a="1"/>
  <c r="I27" i="2" a="1"/>
  <c r="I47" i="2" a="1"/>
  <c r="J50" i="2" a="1"/>
  <c r="I57" i="2" a="1"/>
  <c r="I67" i="2" a="1"/>
  <c r="J70" i="2" a="1"/>
  <c r="I77" i="2" a="1"/>
  <c r="I87" i="2" a="1"/>
  <c r="J90" i="2" a="1"/>
  <c r="J67" i="2" a="1"/>
  <c r="J87" i="2" a="1"/>
  <c r="I14" i="2" a="1"/>
  <c r="J17" i="2" a="1"/>
  <c r="I24" i="2" a="1"/>
  <c r="J27" i="2" a="1"/>
  <c r="I44" i="2" a="1"/>
  <c r="J47" i="2" a="1"/>
  <c r="I54" i="2" a="1"/>
  <c r="J57" i="2" a="1"/>
  <c r="I74" i="2" a="1"/>
  <c r="J77" i="2" a="1"/>
  <c r="J59" i="2" a="1"/>
  <c r="J36" i="2" a="1"/>
  <c r="D116" i="3" a="1"/>
  <c r="D117" i="3" a="1"/>
  <c r="J36" i="2" l="1"/>
  <c r="J59" i="2"/>
  <c r="J77" i="2"/>
  <c r="I74" i="2"/>
  <c r="J57" i="2"/>
  <c r="I54" i="2"/>
  <c r="J47" i="2"/>
  <c r="I44" i="2"/>
  <c r="J27" i="2"/>
  <c r="I24" i="2"/>
  <c r="J17" i="2"/>
  <c r="I14" i="2"/>
  <c r="J87" i="2"/>
  <c r="J67" i="2"/>
  <c r="J90" i="2"/>
  <c r="I87" i="2"/>
  <c r="I77" i="2"/>
  <c r="J70" i="2"/>
  <c r="I67" i="2"/>
  <c r="I57" i="2"/>
  <c r="J50" i="2"/>
  <c r="I47" i="2"/>
  <c r="I27" i="2"/>
  <c r="I17" i="2"/>
  <c r="J10" i="2"/>
  <c r="I7" i="2"/>
  <c r="J89" i="2"/>
  <c r="J73" i="2"/>
  <c r="J33" i="2"/>
  <c r="I50" i="2"/>
  <c r="J66" i="2"/>
  <c r="I70" i="2"/>
  <c r="J53" i="2"/>
  <c r="I66" i="2"/>
  <c r="J62" i="2"/>
  <c r="J42" i="2"/>
  <c r="I39" i="2"/>
  <c r="J32" i="2"/>
  <c r="I29" i="2"/>
  <c r="J22" i="2"/>
  <c r="I19" i="2"/>
  <c r="I83" i="2"/>
  <c r="I13" i="2"/>
  <c r="J79" i="2"/>
  <c r="J29" i="2"/>
  <c r="J82" i="2"/>
  <c r="I59" i="2"/>
  <c r="J85" i="2"/>
  <c r="J65" i="2"/>
  <c r="I62" i="2"/>
  <c r="J45" i="2"/>
  <c r="I42" i="2"/>
  <c r="J35" i="2"/>
  <c r="I32" i="2"/>
  <c r="J25" i="2"/>
  <c r="I22" i="2"/>
  <c r="J15" i="2"/>
  <c r="J5" i="2"/>
  <c r="J83" i="2"/>
  <c r="I10" i="2"/>
  <c r="I63" i="2"/>
  <c r="I36" i="2"/>
  <c r="I79" i="2"/>
  <c r="I82" i="2"/>
  <c r="J75" i="2"/>
  <c r="J55" i="2"/>
  <c r="I73" i="2"/>
  <c r="I53" i="2"/>
  <c r="I86" i="2"/>
  <c r="J39" i="2"/>
  <c r="J19" i="2"/>
  <c r="I89" i="2"/>
  <c r="I69" i="2"/>
  <c r="I85" i="2"/>
  <c r="J78" i="2"/>
  <c r="I75" i="2"/>
  <c r="I65" i="2"/>
  <c r="J58" i="2"/>
  <c r="I55" i="2"/>
  <c r="J48" i="2"/>
  <c r="I45" i="2"/>
  <c r="J38" i="2"/>
  <c r="I35" i="2"/>
  <c r="J28" i="2"/>
  <c r="I25" i="2"/>
  <c r="J18" i="2"/>
  <c r="I15" i="2"/>
  <c r="J8" i="2"/>
  <c r="I5" i="2"/>
  <c r="J63" i="2"/>
  <c r="J13" i="2"/>
  <c r="J86" i="2"/>
  <c r="I33" i="2"/>
  <c r="J69" i="2"/>
  <c r="J91" i="2"/>
  <c r="J81" i="2"/>
  <c r="I78" i="2"/>
  <c r="J71" i="2"/>
  <c r="J61" i="2"/>
  <c r="I58" i="2"/>
  <c r="J51" i="2"/>
  <c r="I48" i="2"/>
  <c r="J41" i="2"/>
  <c r="I38" i="2"/>
  <c r="J31" i="2"/>
  <c r="I28" i="2"/>
  <c r="J21" i="2"/>
  <c r="I18" i="2"/>
  <c r="J11" i="2"/>
  <c r="I8" i="2"/>
  <c r="J4" i="2"/>
  <c r="I90" i="2"/>
  <c r="I91" i="2"/>
  <c r="I81" i="2"/>
  <c r="J74" i="2"/>
  <c r="I71" i="2"/>
  <c r="I61" i="2"/>
  <c r="J54" i="2"/>
  <c r="I51" i="2"/>
  <c r="J44" i="2"/>
  <c r="I41" i="2"/>
  <c r="I31" i="2"/>
  <c r="J24" i="2"/>
  <c r="I21" i="2"/>
  <c r="J14" i="2"/>
  <c r="I11" i="2"/>
  <c r="J7" i="2"/>
  <c r="I4" i="2"/>
  <c r="D117" i="3"/>
  <c r="D116" i="3"/>
  <c r="G444" i="1" l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120" i="1"/>
  <c r="G119" i="1"/>
  <c r="G118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D24" i="3" a="1"/>
  <c r="D34" i="3" a="1"/>
  <c r="D44" i="3" a="1"/>
  <c r="D54" i="3" a="1"/>
  <c r="D64" i="3" a="1"/>
  <c r="D74" i="3" a="1"/>
  <c r="D84" i="3" a="1"/>
  <c r="D94" i="3" a="1"/>
  <c r="D104" i="3" a="1"/>
  <c r="D114" i="3" a="1"/>
  <c r="D85" i="3" a="1"/>
  <c r="D105" i="3" a="1"/>
  <c r="D76" i="3" a="1"/>
  <c r="D87" i="3" a="1"/>
  <c r="D58" i="3" a="1"/>
  <c r="D88" i="3" a="1"/>
  <c r="D69" i="3" a="1"/>
  <c r="D50" i="3" a="1"/>
  <c r="D81" i="3" a="1"/>
  <c r="D93" i="3" a="1"/>
  <c r="D55" i="3" a="1"/>
  <c r="D57" i="3" a="1"/>
  <c r="D48" i="3" a="1"/>
  <c r="D108" i="3" a="1"/>
  <c r="D59" i="3" a="1"/>
  <c r="D109" i="3" a="1"/>
  <c r="D70" i="3" a="1"/>
  <c r="D61" i="3" a="1"/>
  <c r="D101" i="3" a="1"/>
  <c r="D52" i="3" a="1"/>
  <c r="D43" i="3" a="1"/>
  <c r="D113" i="3" a="1"/>
  <c r="D25" i="3" a="1"/>
  <c r="D35" i="3" a="1"/>
  <c r="D45" i="3" a="1"/>
  <c r="D65" i="3" a="1"/>
  <c r="D75" i="3" a="1"/>
  <c r="D95" i="3" a="1"/>
  <c r="D115" i="3" a="1"/>
  <c r="D106" i="3" a="1"/>
  <c r="D77" i="3" a="1"/>
  <c r="D68" i="3" a="1"/>
  <c r="D98" i="3" a="1"/>
  <c r="D79" i="3" a="1"/>
  <c r="D90" i="3" a="1"/>
  <c r="D110" i="3" a="1"/>
  <c r="D31" i="3" a="1"/>
  <c r="D82" i="3" a="1"/>
  <c r="D63" i="3" a="1"/>
  <c r="D36" i="3" a="1"/>
  <c r="D66" i="3" a="1"/>
  <c r="D96" i="3" a="1"/>
  <c r="D107" i="3" a="1"/>
  <c r="D28" i="3" a="1"/>
  <c r="D89" i="3" a="1"/>
  <c r="D80" i="3" a="1"/>
  <c r="D71" i="3" a="1"/>
  <c r="D111" i="3" a="1"/>
  <c r="D42" i="3" a="1"/>
  <c r="D53" i="3" a="1"/>
  <c r="D26" i="3" a="1"/>
  <c r="D46" i="3" a="1"/>
  <c r="D56" i="3" a="1"/>
  <c r="D86" i="3" a="1"/>
  <c r="D78" i="3" a="1"/>
  <c r="D39" i="3" a="1"/>
  <c r="D100" i="3" a="1"/>
  <c r="D91" i="3" a="1"/>
  <c r="D102" i="3" a="1"/>
  <c r="D73" i="3" a="1"/>
  <c r="D37" i="3" a="1"/>
  <c r="D47" i="3" a="1"/>
  <c r="D67" i="3" a="1"/>
  <c r="D97" i="3" a="1"/>
  <c r="D38" i="3" a="1"/>
  <c r="D49" i="3" a="1"/>
  <c r="D99" i="3" a="1"/>
  <c r="D60" i="3" a="1"/>
  <c r="D51" i="3" a="1"/>
  <c r="D62" i="3" a="1"/>
  <c r="D33" i="3" a="1"/>
  <c r="D27" i="3" a="1"/>
  <c r="D29" i="3" a="1"/>
  <c r="D40" i="3" a="1"/>
  <c r="D41" i="3" a="1"/>
  <c r="D92" i="3" a="1"/>
  <c r="D103" i="3" a="1"/>
  <c r="D30" i="3" a="1"/>
  <c r="D72" i="3" a="1"/>
  <c r="D83" i="3" a="1"/>
  <c r="D32" i="3" a="1"/>
  <c r="D112" i="3" a="1"/>
  <c r="E65" i="5" a="1"/>
  <c r="E60" i="5" a="1"/>
  <c r="E62" i="5" a="1"/>
  <c r="E61" i="5" a="1"/>
  <c r="E2" i="5" a="1"/>
  <c r="E12" i="5" a="1"/>
  <c r="E22" i="5" a="1"/>
  <c r="E32" i="5" a="1"/>
  <c r="E42" i="5" a="1"/>
  <c r="E52" i="5" a="1"/>
  <c r="E72" i="5" a="1"/>
  <c r="E82" i="5" a="1"/>
  <c r="E92" i="5" a="1"/>
  <c r="E102" i="5" a="1"/>
  <c r="E89" i="5" a="1"/>
  <c r="E41" i="5" a="1"/>
  <c r="E101" i="5" a="1"/>
  <c r="E3" i="5" a="1"/>
  <c r="E13" i="5" a="1"/>
  <c r="E23" i="5" a="1"/>
  <c r="E33" i="5" a="1"/>
  <c r="E43" i="5" a="1"/>
  <c r="E53" i="5" a="1"/>
  <c r="E63" i="5" a="1"/>
  <c r="E73" i="5" a="1"/>
  <c r="E83" i="5" a="1"/>
  <c r="E93" i="5" a="1"/>
  <c r="E103" i="5" a="1"/>
  <c r="E95" i="5" a="1"/>
  <c r="E46" i="5" a="1"/>
  <c r="E7" i="5" a="1"/>
  <c r="E67" i="5" a="1"/>
  <c r="E8" i="5" a="1"/>
  <c r="E78" i="5" a="1"/>
  <c r="E19" i="5" a="1"/>
  <c r="E99" i="5" a="1"/>
  <c r="E10" i="5" a="1"/>
  <c r="E100" i="5" a="1"/>
  <c r="E11" i="5" a="1"/>
  <c r="E66" i="5" a="1"/>
  <c r="E17" i="5" a="1"/>
  <c r="E28" i="5" a="1"/>
  <c r="E58" i="5" a="1"/>
  <c r="E39" i="5" a="1"/>
  <c r="E79" i="5" a="1"/>
  <c r="E40" i="5" a="1"/>
  <c r="E90" i="5" a="1"/>
  <c r="E31" i="5" a="1"/>
  <c r="E4" i="5" a="1"/>
  <c r="E14" i="5" a="1"/>
  <c r="E24" i="5" a="1"/>
  <c r="E34" i="5" a="1"/>
  <c r="E44" i="5" a="1"/>
  <c r="E54" i="5" a="1"/>
  <c r="E64" i="5" a="1"/>
  <c r="E74" i="5" a="1"/>
  <c r="E84" i="5" a="1"/>
  <c r="E94" i="5" a="1"/>
  <c r="E104" i="5" a="1"/>
  <c r="E56" i="5" a="1"/>
  <c r="E47" i="5" a="1"/>
  <c r="E77" i="5" a="1"/>
  <c r="E48" i="5" a="1"/>
  <c r="E88" i="5" a="1"/>
  <c r="E49" i="5" a="1"/>
  <c r="E50" i="5" a="1"/>
  <c r="E21" i="5" a="1"/>
  <c r="E5" i="5" a="1"/>
  <c r="E15" i="5" a="1"/>
  <c r="E25" i="5" a="1"/>
  <c r="E35" i="5" a="1"/>
  <c r="E45" i="5" a="1"/>
  <c r="E55" i="5" a="1"/>
  <c r="E75" i="5" a="1"/>
  <c r="E85" i="5" a="1"/>
  <c r="E76" i="5" a="1"/>
  <c r="E27" i="5" a="1"/>
  <c r="E97" i="5" a="1"/>
  <c r="E38" i="5" a="1"/>
  <c r="E68" i="5" a="1"/>
  <c r="E59" i="5" a="1"/>
  <c r="E70" i="5" a="1"/>
  <c r="E91" i="5" a="1"/>
  <c r="E57" i="5" a="1"/>
  <c r="E29" i="5" a="1"/>
  <c r="E20" i="5" a="1"/>
  <c r="E51" i="5" a="1"/>
  <c r="E6" i="5" a="1"/>
  <c r="E16" i="5" a="1"/>
  <c r="E26" i="5" a="1"/>
  <c r="E36" i="5" a="1"/>
  <c r="E86" i="5" a="1"/>
  <c r="E96" i="5" a="1"/>
  <c r="E37" i="5" a="1"/>
  <c r="E87" i="5" a="1"/>
  <c r="E18" i="5" a="1"/>
  <c r="E98" i="5" a="1"/>
  <c r="E9" i="5" a="1"/>
  <c r="E69" i="5" a="1"/>
  <c r="E30" i="5" a="1"/>
  <c r="E80" i="5" a="1"/>
  <c r="E71" i="5" a="1"/>
  <c r="E81" i="5" a="1"/>
  <c r="E1" i="5" a="1"/>
  <c r="E5" i="7" a="1"/>
  <c r="E15" i="7" a="1"/>
  <c r="E25" i="7" a="1"/>
  <c r="E35" i="7" a="1"/>
  <c r="E45" i="7" a="1"/>
  <c r="E55" i="7" a="1"/>
  <c r="E64" i="7" a="1"/>
  <c r="E73" i="7" a="1"/>
  <c r="E82" i="7" a="1"/>
  <c r="E22" i="7" a="1"/>
  <c r="E33" i="7" a="1"/>
  <c r="E24" i="7" a="1"/>
  <c r="E72" i="7" a="1"/>
  <c r="E16" i="7" a="1"/>
  <c r="E56" i="7" a="1"/>
  <c r="E83" i="7" a="1"/>
  <c r="E17" i="7" a="1"/>
  <c r="E37" i="7" a="1"/>
  <c r="E57" i="7" a="1"/>
  <c r="E75" i="7" a="1"/>
  <c r="E18" i="7" a="1"/>
  <c r="E28" i="7" a="1"/>
  <c r="E38" i="7" a="1"/>
  <c r="E58" i="7" a="1"/>
  <c r="E67" i="7" a="1"/>
  <c r="E85" i="7" a="1"/>
  <c r="E19" i="7" a="1"/>
  <c r="E29" i="7" a="1"/>
  <c r="E49" i="7" a="1"/>
  <c r="E68" i="7" a="1"/>
  <c r="E86" i="7" a="1"/>
  <c r="E20" i="7" a="1"/>
  <c r="E30" i="7" a="1"/>
  <c r="E50" i="7" a="1"/>
  <c r="E69" i="7" a="1"/>
  <c r="E31" i="7" a="1"/>
  <c r="E51" i="7" a="1"/>
  <c r="E70" i="7" a="1"/>
  <c r="E52" i="7" a="1"/>
  <c r="E79" i="7" a="1"/>
  <c r="E53" i="7" a="1"/>
  <c r="E54" i="7" a="1"/>
  <c r="E81" i="7" a="1"/>
  <c r="E6" i="7" a="1"/>
  <c r="E26" i="7" a="1"/>
  <c r="E36" i="7" a="1"/>
  <c r="E46" i="7" a="1"/>
  <c r="E65" i="7" a="1"/>
  <c r="E74" i="7" a="1"/>
  <c r="E27" i="7" a="1"/>
  <c r="E47" i="7" a="1"/>
  <c r="E66" i="7" a="1"/>
  <c r="E84" i="7" a="1"/>
  <c r="E8" i="7" a="1"/>
  <c r="E48" i="7" a="1"/>
  <c r="E76" i="7" a="1"/>
  <c r="E9" i="7" a="1"/>
  <c r="E39" i="7" a="1"/>
  <c r="E59" i="7" a="1"/>
  <c r="E77" i="7" a="1"/>
  <c r="E10" i="7" a="1"/>
  <c r="E40" i="7" a="1"/>
  <c r="E60" i="7" a="1"/>
  <c r="E78" i="7" a="1"/>
  <c r="E11" i="7" a="1"/>
  <c r="E61" i="7" a="1"/>
  <c r="E42" i="7" a="1"/>
  <c r="E43" i="7" a="1"/>
  <c r="E71" i="7" a="1"/>
  <c r="E34" i="7" a="1"/>
  <c r="E41" i="7" a="1"/>
  <c r="E32" i="7" a="1"/>
  <c r="E23" i="7" a="1"/>
  <c r="E80" i="7" a="1"/>
  <c r="E14" i="7" a="1"/>
  <c r="E63" i="7" a="1"/>
  <c r="E7" i="7" a="1"/>
  <c r="E21" i="7" a="1"/>
  <c r="E12" i="7" a="1"/>
  <c r="E13" i="7" a="1"/>
  <c r="E44" i="7" a="1"/>
  <c r="E62" i="7" a="1"/>
  <c r="E3" i="7" a="1"/>
  <c r="E2" i="7" a="1"/>
  <c r="E4" i="7" a="1"/>
  <c r="E1" i="7" a="1"/>
  <c r="D112" i="3" l="1"/>
  <c r="G114" i="2" s="1"/>
  <c r="D32" i="3"/>
  <c r="G34" i="2" s="1"/>
  <c r="D83" i="3"/>
  <c r="G85" i="2" s="1"/>
  <c r="D72" i="3"/>
  <c r="G74" i="2" s="1"/>
  <c r="D30" i="3"/>
  <c r="G32" i="2" s="1"/>
  <c r="D103" i="3"/>
  <c r="D92" i="3"/>
  <c r="D41" i="3"/>
  <c r="G43" i="2" s="1"/>
  <c r="D40" i="3"/>
  <c r="G42" i="2" s="1"/>
  <c r="D29" i="3"/>
  <c r="G31" i="2" s="1"/>
  <c r="D27" i="3"/>
  <c r="G29" i="2" s="1"/>
  <c r="D33" i="3"/>
  <c r="G35" i="2" s="1"/>
  <c r="D62" i="3"/>
  <c r="G64" i="2" s="1"/>
  <c r="D51" i="3"/>
  <c r="G53" i="2" s="1"/>
  <c r="D60" i="3"/>
  <c r="G62" i="2" s="1"/>
  <c r="D99" i="3"/>
  <c r="D49" i="3"/>
  <c r="G51" i="2" s="1"/>
  <c r="D38" i="3"/>
  <c r="G40" i="2" s="1"/>
  <c r="D97" i="3"/>
  <c r="D67" i="3"/>
  <c r="G69" i="2" s="1"/>
  <c r="D47" i="3"/>
  <c r="G49" i="2" s="1"/>
  <c r="D37" i="3"/>
  <c r="G39" i="2" s="1"/>
  <c r="D73" i="3"/>
  <c r="G75" i="2" s="1"/>
  <c r="D102" i="3"/>
  <c r="D91" i="3"/>
  <c r="D100" i="3"/>
  <c r="D39" i="3"/>
  <c r="G41" i="2" s="1"/>
  <c r="D78" i="3"/>
  <c r="G80" i="2" s="1"/>
  <c r="D86" i="3"/>
  <c r="G88" i="2" s="1"/>
  <c r="D56" i="3"/>
  <c r="G58" i="2" s="1"/>
  <c r="D46" i="3"/>
  <c r="G48" i="2" s="1"/>
  <c r="D26" i="3"/>
  <c r="G28" i="2" s="1"/>
  <c r="D53" i="3"/>
  <c r="G55" i="2" s="1"/>
  <c r="D42" i="3"/>
  <c r="G44" i="2" s="1"/>
  <c r="D111" i="3"/>
  <c r="G113" i="2" s="1"/>
  <c r="D71" i="3"/>
  <c r="G73" i="2" s="1"/>
  <c r="D80" i="3"/>
  <c r="G82" i="2" s="1"/>
  <c r="D89" i="3"/>
  <c r="G91" i="2" s="1"/>
  <c r="D28" i="3"/>
  <c r="G30" i="2" s="1"/>
  <c r="D107" i="3"/>
  <c r="D96" i="3"/>
  <c r="D66" i="3"/>
  <c r="G68" i="2" s="1"/>
  <c r="D36" i="3"/>
  <c r="G38" i="2" s="1"/>
  <c r="D63" i="3"/>
  <c r="G65" i="2" s="1"/>
  <c r="D82" i="3"/>
  <c r="G84" i="2" s="1"/>
  <c r="D31" i="3"/>
  <c r="G33" i="2" s="1"/>
  <c r="D110" i="3"/>
  <c r="D90" i="3"/>
  <c r="D79" i="3"/>
  <c r="G81" i="2" s="1"/>
  <c r="D98" i="3"/>
  <c r="D68" i="3"/>
  <c r="G70" i="2" s="1"/>
  <c r="D77" i="3"/>
  <c r="G79" i="2" s="1"/>
  <c r="D106" i="3"/>
  <c r="D115" i="3"/>
  <c r="G117" i="2" s="1"/>
  <c r="D95" i="3"/>
  <c r="D75" i="3"/>
  <c r="G77" i="2" s="1"/>
  <c r="D65" i="3"/>
  <c r="G67" i="2" s="1"/>
  <c r="D45" i="3"/>
  <c r="G47" i="2" s="1"/>
  <c r="D35" i="3"/>
  <c r="G37" i="2" s="1"/>
  <c r="D25" i="3"/>
  <c r="G27" i="2" s="1"/>
  <c r="D113" i="3"/>
  <c r="G115" i="2" s="1"/>
  <c r="D43" i="3"/>
  <c r="G45" i="2" s="1"/>
  <c r="D52" i="3"/>
  <c r="G54" i="2" s="1"/>
  <c r="D101" i="3"/>
  <c r="D61" i="3"/>
  <c r="G63" i="2" s="1"/>
  <c r="D70" i="3"/>
  <c r="G72" i="2" s="1"/>
  <c r="D109" i="3"/>
  <c r="D59" i="3"/>
  <c r="G61" i="2" s="1"/>
  <c r="D108" i="3"/>
  <c r="D48" i="3"/>
  <c r="G50" i="2" s="1"/>
  <c r="D57" i="3"/>
  <c r="G59" i="2" s="1"/>
  <c r="D55" i="3"/>
  <c r="G57" i="2" s="1"/>
  <c r="D93" i="3"/>
  <c r="D81" i="3"/>
  <c r="G83" i="2" s="1"/>
  <c r="D50" i="3"/>
  <c r="G52" i="2" s="1"/>
  <c r="D69" i="3"/>
  <c r="G71" i="2" s="1"/>
  <c r="D88" i="3"/>
  <c r="G90" i="2" s="1"/>
  <c r="D58" i="3"/>
  <c r="G60" i="2" s="1"/>
  <c r="D87" i="3"/>
  <c r="G89" i="2" s="1"/>
  <c r="D76" i="3"/>
  <c r="G78" i="2" s="1"/>
  <c r="D105" i="3"/>
  <c r="D85" i="3"/>
  <c r="G87" i="2" s="1"/>
  <c r="D114" i="3"/>
  <c r="G116" i="2" s="1"/>
  <c r="D104" i="3"/>
  <c r="D94" i="3"/>
  <c r="D84" i="3"/>
  <c r="G86" i="2" s="1"/>
  <c r="D74" i="3"/>
  <c r="G76" i="2" s="1"/>
  <c r="D64" i="3"/>
  <c r="G66" i="2" s="1"/>
  <c r="D54" i="3"/>
  <c r="G56" i="2" s="1"/>
  <c r="D44" i="3"/>
  <c r="G46" i="2" s="1"/>
  <c r="D34" i="3"/>
  <c r="G36" i="2" s="1"/>
  <c r="D24" i="3"/>
  <c r="G26" i="2" s="1"/>
  <c r="E65" i="5"/>
  <c r="E61" i="5"/>
  <c r="E62" i="5"/>
  <c r="E60" i="5"/>
  <c r="E81" i="5"/>
  <c r="E71" i="5"/>
  <c r="E80" i="5"/>
  <c r="E30" i="5"/>
  <c r="E69" i="5"/>
  <c r="E9" i="5"/>
  <c r="E98" i="5"/>
  <c r="E18" i="5"/>
  <c r="E87" i="5"/>
  <c r="E37" i="5"/>
  <c r="E96" i="5"/>
  <c r="E86" i="5"/>
  <c r="E36" i="5"/>
  <c r="E26" i="5"/>
  <c r="E16" i="5"/>
  <c r="E6" i="5"/>
  <c r="E51" i="5"/>
  <c r="E20" i="5"/>
  <c r="E29" i="5"/>
  <c r="E57" i="5"/>
  <c r="E91" i="5"/>
  <c r="E70" i="5"/>
  <c r="E59" i="5"/>
  <c r="E68" i="5"/>
  <c r="E38" i="5"/>
  <c r="E97" i="5"/>
  <c r="E27" i="5"/>
  <c r="E76" i="5"/>
  <c r="E85" i="5"/>
  <c r="E75" i="5"/>
  <c r="E55" i="5"/>
  <c r="E45" i="5"/>
  <c r="E35" i="5"/>
  <c r="E25" i="5"/>
  <c r="E15" i="5"/>
  <c r="E5" i="5"/>
  <c r="E21" i="5"/>
  <c r="E50" i="5"/>
  <c r="E49" i="5"/>
  <c r="E88" i="5"/>
  <c r="E48" i="5"/>
  <c r="E77" i="5"/>
  <c r="E47" i="5"/>
  <c r="E56" i="5"/>
  <c r="E104" i="5"/>
  <c r="E94" i="5"/>
  <c r="E84" i="5"/>
  <c r="E74" i="5"/>
  <c r="E64" i="5"/>
  <c r="E54" i="5"/>
  <c r="E44" i="5"/>
  <c r="E34" i="5"/>
  <c r="E24" i="5"/>
  <c r="E14" i="5"/>
  <c r="E4" i="5"/>
  <c r="E31" i="5"/>
  <c r="E90" i="5"/>
  <c r="E40" i="5"/>
  <c r="E79" i="5"/>
  <c r="E39" i="5"/>
  <c r="E58" i="5"/>
  <c r="E28" i="5"/>
  <c r="E17" i="5"/>
  <c r="E66" i="5"/>
  <c r="E11" i="5"/>
  <c r="E100" i="5"/>
  <c r="E10" i="5"/>
  <c r="E99" i="5"/>
  <c r="E19" i="5"/>
  <c r="E78" i="5"/>
  <c r="E8" i="5"/>
  <c r="E67" i="5"/>
  <c r="E7" i="5"/>
  <c r="E46" i="5"/>
  <c r="E95" i="5"/>
  <c r="E103" i="5"/>
  <c r="E93" i="5"/>
  <c r="E83" i="5"/>
  <c r="E73" i="5"/>
  <c r="E63" i="5"/>
  <c r="E53" i="5"/>
  <c r="E43" i="5"/>
  <c r="E33" i="5"/>
  <c r="E23" i="5"/>
  <c r="E13" i="5"/>
  <c r="E3" i="5"/>
  <c r="E101" i="5"/>
  <c r="E41" i="5"/>
  <c r="E89" i="5"/>
  <c r="E102" i="5"/>
  <c r="E92" i="5"/>
  <c r="E82" i="5"/>
  <c r="E72" i="5"/>
  <c r="E52" i="5"/>
  <c r="E42" i="5"/>
  <c r="E32" i="5"/>
  <c r="E22" i="5"/>
  <c r="E12" i="5"/>
  <c r="E2" i="5"/>
  <c r="E1" i="5"/>
  <c r="E62" i="7"/>
  <c r="E44" i="7"/>
  <c r="E13" i="7"/>
  <c r="E12" i="7"/>
  <c r="E21" i="7"/>
  <c r="E7" i="7"/>
  <c r="E63" i="7"/>
  <c r="E14" i="7"/>
  <c r="E80" i="7"/>
  <c r="E23" i="7"/>
  <c r="E32" i="7"/>
  <c r="E41" i="7"/>
  <c r="E34" i="7"/>
  <c r="E71" i="7"/>
  <c r="E43" i="7"/>
  <c r="E42" i="7"/>
  <c r="E61" i="7"/>
  <c r="E11" i="7"/>
  <c r="E78" i="7"/>
  <c r="E60" i="7"/>
  <c r="E40" i="7"/>
  <c r="E10" i="7"/>
  <c r="E77" i="7"/>
  <c r="E59" i="7"/>
  <c r="E39" i="7"/>
  <c r="E9" i="7"/>
  <c r="E76" i="7"/>
  <c r="E48" i="7"/>
  <c r="E8" i="7"/>
  <c r="E84" i="7"/>
  <c r="E66" i="7"/>
  <c r="E47" i="7"/>
  <c r="E27" i="7"/>
  <c r="E74" i="7"/>
  <c r="E65" i="7"/>
  <c r="E46" i="7"/>
  <c r="E36" i="7"/>
  <c r="E26" i="7"/>
  <c r="E6" i="7"/>
  <c r="E81" i="7"/>
  <c r="E54" i="7"/>
  <c r="E53" i="7"/>
  <c r="E79" i="7"/>
  <c r="E52" i="7"/>
  <c r="E70" i="7"/>
  <c r="E51" i="7"/>
  <c r="E31" i="7"/>
  <c r="E69" i="7"/>
  <c r="E50" i="7"/>
  <c r="E30" i="7"/>
  <c r="E20" i="7"/>
  <c r="E86" i="7"/>
  <c r="E68" i="7"/>
  <c r="E49" i="7"/>
  <c r="E29" i="7"/>
  <c r="E19" i="7"/>
  <c r="E85" i="7"/>
  <c r="E67" i="7"/>
  <c r="E58" i="7"/>
  <c r="E38" i="7"/>
  <c r="E28" i="7"/>
  <c r="E18" i="7"/>
  <c r="E75" i="7"/>
  <c r="E57" i="7"/>
  <c r="E37" i="7"/>
  <c r="E17" i="7"/>
  <c r="E83" i="7"/>
  <c r="E56" i="7"/>
  <c r="E16" i="7"/>
  <c r="E72" i="7"/>
  <c r="E24" i="7"/>
  <c r="E33" i="7"/>
  <c r="E22" i="7"/>
  <c r="E82" i="7"/>
  <c r="E73" i="7"/>
  <c r="E64" i="7"/>
  <c r="E55" i="7"/>
  <c r="E45" i="7"/>
  <c r="E35" i="7"/>
  <c r="E25" i="7"/>
  <c r="E15" i="7"/>
  <c r="E5" i="7"/>
  <c r="E4" i="7"/>
  <c r="E2" i="7"/>
  <c r="E3" i="7"/>
  <c r="E1" i="7"/>
  <c r="F81" i="1"/>
  <c r="F359" i="1"/>
  <c r="L56" i="2" l="1"/>
  <c r="K56" i="2"/>
  <c r="K87" i="2"/>
  <c r="L87" i="2"/>
  <c r="L78" i="2"/>
  <c r="K78" i="2"/>
  <c r="L116" i="2"/>
  <c r="K116" i="2"/>
  <c r="L68" i="2"/>
  <c r="K68" i="2"/>
  <c r="K34" i="2"/>
  <c r="L34" i="2"/>
  <c r="L114" i="2"/>
  <c r="K114" i="2"/>
  <c r="K69" i="2"/>
  <c r="L69" i="2"/>
  <c r="K30" i="2"/>
  <c r="L30" i="2"/>
  <c r="K60" i="2"/>
  <c r="L60" i="2"/>
  <c r="L47" i="2"/>
  <c r="K47" i="2"/>
  <c r="L91" i="2"/>
  <c r="K91" i="2"/>
  <c r="L40" i="2"/>
  <c r="K40" i="2"/>
  <c r="K90" i="2"/>
  <c r="L90" i="2"/>
  <c r="K67" i="2"/>
  <c r="L67" i="2"/>
  <c r="K82" i="2"/>
  <c r="L82" i="2"/>
  <c r="L51" i="2"/>
  <c r="K51" i="2"/>
  <c r="L71" i="2"/>
  <c r="K71" i="2"/>
  <c r="K77" i="2"/>
  <c r="L77" i="2"/>
  <c r="K73" i="2"/>
  <c r="L73" i="2"/>
  <c r="L33" i="2"/>
  <c r="K33" i="2"/>
  <c r="K80" i="2"/>
  <c r="L80" i="2"/>
  <c r="K72" i="2"/>
  <c r="L72" i="2"/>
  <c r="K54" i="2"/>
  <c r="L54" i="2"/>
  <c r="K45" i="2"/>
  <c r="L45" i="2"/>
  <c r="K37" i="2"/>
  <c r="L37" i="2"/>
  <c r="K53" i="2"/>
  <c r="L53" i="2"/>
  <c r="K81" i="2"/>
  <c r="L81" i="2"/>
  <c r="K65" i="2"/>
  <c r="L65" i="2"/>
  <c r="L88" i="2"/>
  <c r="K88" i="2"/>
  <c r="K76" i="2"/>
  <c r="L76" i="2"/>
  <c r="L63" i="2"/>
  <c r="K63" i="2"/>
  <c r="L75" i="2"/>
  <c r="K75" i="2"/>
  <c r="L39" i="2"/>
  <c r="K39" i="2"/>
  <c r="K27" i="2"/>
  <c r="L27" i="2"/>
  <c r="L62" i="2"/>
  <c r="K62" i="2"/>
  <c r="K117" i="2"/>
  <c r="L117" i="2"/>
  <c r="L55" i="2"/>
  <c r="K55" i="2"/>
  <c r="K26" i="2"/>
  <c r="L26" i="2"/>
  <c r="L57" i="2"/>
  <c r="K57" i="2"/>
  <c r="L35" i="2"/>
  <c r="K35" i="2"/>
  <c r="K36" i="2"/>
  <c r="L36" i="2"/>
  <c r="L59" i="2"/>
  <c r="K59" i="2"/>
  <c r="K70" i="2"/>
  <c r="L70" i="2"/>
  <c r="L48" i="2"/>
  <c r="K48" i="2"/>
  <c r="K29" i="2"/>
  <c r="L29" i="2"/>
  <c r="L41" i="2"/>
  <c r="K41" i="2"/>
  <c r="L85" i="2"/>
  <c r="K85" i="2"/>
  <c r="L115" i="2"/>
  <c r="K115" i="2"/>
  <c r="K49" i="2"/>
  <c r="L49" i="2"/>
  <c r="L89" i="2"/>
  <c r="K89" i="2"/>
  <c r="K52" i="2"/>
  <c r="L52" i="2"/>
  <c r="K113" i="2"/>
  <c r="L113" i="2"/>
  <c r="K83" i="2"/>
  <c r="L83" i="2"/>
  <c r="L44" i="2"/>
  <c r="K44" i="2"/>
  <c r="L64" i="2"/>
  <c r="K64" i="2"/>
  <c r="L79" i="2"/>
  <c r="K79" i="2"/>
  <c r="K28" i="2"/>
  <c r="L28" i="2"/>
  <c r="K46" i="2"/>
  <c r="L46" i="2"/>
  <c r="L50" i="2"/>
  <c r="K50" i="2"/>
  <c r="K58" i="2"/>
  <c r="L58" i="2"/>
  <c r="L31" i="2"/>
  <c r="K31" i="2"/>
  <c r="L42" i="2"/>
  <c r="K42" i="2"/>
  <c r="K86" i="2"/>
  <c r="L86" i="2"/>
  <c r="K66" i="2"/>
  <c r="L66" i="2"/>
  <c r="K84" i="2"/>
  <c r="L84" i="2"/>
  <c r="L32" i="2"/>
  <c r="K32" i="2"/>
  <c r="K43" i="2"/>
  <c r="L43" i="2"/>
  <c r="L38" i="2"/>
  <c r="K38" i="2"/>
  <c r="L61" i="2"/>
  <c r="K61" i="2"/>
  <c r="L74" i="2"/>
  <c r="K74" i="2"/>
  <c r="F444" i="1"/>
  <c r="F424" i="1"/>
  <c r="F404" i="1"/>
  <c r="F384" i="1"/>
  <c r="F364" i="1"/>
  <c r="F91" i="1"/>
  <c r="F6" i="1"/>
  <c r="F403" i="1"/>
  <c r="F383" i="1"/>
  <c r="F363" i="1"/>
  <c r="F90" i="1"/>
  <c r="F5" i="1"/>
  <c r="F3" i="1"/>
  <c r="F118" i="1"/>
  <c r="F411" i="1"/>
  <c r="F410" i="1"/>
  <c r="F12" i="1"/>
  <c r="F428" i="1"/>
  <c r="F427" i="1"/>
  <c r="F366" i="1"/>
  <c r="F385" i="1"/>
  <c r="F443" i="1"/>
  <c r="F423" i="1"/>
  <c r="F101" i="1"/>
  <c r="F100" i="1"/>
  <c r="F14" i="1"/>
  <c r="F430" i="1"/>
  <c r="F96" i="1"/>
  <c r="F408" i="1"/>
  <c r="F407" i="1"/>
  <c r="F93" i="1"/>
  <c r="F365" i="1"/>
  <c r="F442" i="1"/>
  <c r="F422" i="1"/>
  <c r="F402" i="1"/>
  <c r="F382" i="1"/>
  <c r="F362" i="1"/>
  <c r="F89" i="1"/>
  <c r="F4" i="1"/>
  <c r="F421" i="1"/>
  <c r="F401" i="1"/>
  <c r="F381" i="1"/>
  <c r="F361" i="1"/>
  <c r="F88" i="1"/>
  <c r="F395" i="1"/>
  <c r="F394" i="1"/>
  <c r="F413" i="1"/>
  <c r="F392" i="1"/>
  <c r="F431" i="1"/>
  <c r="F97" i="1"/>
  <c r="F369" i="1"/>
  <c r="F368" i="1"/>
  <c r="F367" i="1"/>
  <c r="F386" i="1"/>
  <c r="F405" i="1"/>
  <c r="F441" i="1"/>
  <c r="F440" i="1"/>
  <c r="F420" i="1"/>
  <c r="F400" i="1"/>
  <c r="F380" i="1"/>
  <c r="F360" i="1"/>
  <c r="F87" i="1"/>
  <c r="F2" i="1"/>
  <c r="F86" i="1"/>
  <c r="F377" i="1"/>
  <c r="F84" i="1"/>
  <c r="F396" i="1"/>
  <c r="F119" i="1"/>
  <c r="F415" i="1"/>
  <c r="F82" i="1"/>
  <c r="F414" i="1"/>
  <c r="F393" i="1"/>
  <c r="F15" i="1"/>
  <c r="F371" i="1"/>
  <c r="F370" i="1"/>
  <c r="F409" i="1"/>
  <c r="F11" i="1"/>
  <c r="F10" i="1"/>
  <c r="F426" i="1"/>
  <c r="F7" i="1"/>
  <c r="F439" i="1"/>
  <c r="F419" i="1"/>
  <c r="F399" i="1"/>
  <c r="F379" i="1"/>
  <c r="F433" i="1"/>
  <c r="F372" i="1"/>
  <c r="F391" i="1"/>
  <c r="F13" i="1"/>
  <c r="F429" i="1"/>
  <c r="F95" i="1"/>
  <c r="F94" i="1"/>
  <c r="F406" i="1"/>
  <c r="F92" i="1"/>
  <c r="F438" i="1"/>
  <c r="F418" i="1"/>
  <c r="F398" i="1"/>
  <c r="F378" i="1"/>
  <c r="F358" i="1"/>
  <c r="F85" i="1"/>
  <c r="F417" i="1"/>
  <c r="F397" i="1"/>
  <c r="F120" i="1"/>
  <c r="F416" i="1"/>
  <c r="F376" i="1"/>
  <c r="F83" i="1"/>
  <c r="F375" i="1"/>
  <c r="F434" i="1"/>
  <c r="F374" i="1"/>
  <c r="F373" i="1"/>
  <c r="F412" i="1"/>
  <c r="F99" i="1"/>
  <c r="F98" i="1"/>
  <c r="F390" i="1"/>
  <c r="F389" i="1"/>
  <c r="F388" i="1"/>
  <c r="F387" i="1"/>
  <c r="F9" i="1"/>
  <c r="F425" i="1"/>
  <c r="F437" i="1"/>
  <c r="F436" i="1"/>
  <c r="F435" i="1"/>
  <c r="F432" i="1"/>
  <c r="F8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32" i="1"/>
  <c r="D128" i="1"/>
  <c r="D125" i="1"/>
  <c r="D124" i="1"/>
  <c r="D123" i="1"/>
  <c r="D122" i="1"/>
  <c r="D121" i="1"/>
  <c r="D117" i="1"/>
  <c r="D116" i="1"/>
  <c r="D112" i="1"/>
  <c r="D111" i="1"/>
  <c r="D110" i="1"/>
  <c r="D109" i="1"/>
  <c r="D108" i="1"/>
  <c r="D107" i="1"/>
  <c r="D106" i="1"/>
  <c r="D105" i="1"/>
  <c r="D104" i="1"/>
  <c r="D103" i="1"/>
  <c r="D102" i="1"/>
  <c r="D80" i="1"/>
  <c r="D79" i="1"/>
  <c r="D78" i="1"/>
  <c r="D77" i="1"/>
  <c r="D76" i="1"/>
  <c r="D75" i="1"/>
  <c r="D74" i="1"/>
  <c r="D73" i="1"/>
  <c r="D72" i="1"/>
  <c r="D71" i="1"/>
  <c r="D67" i="1"/>
  <c r="D66" i="1"/>
  <c r="D65" i="1"/>
  <c r="D64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17" i="1"/>
  <c r="D12" i="3" a="1"/>
  <c r="D11" i="3" a="1"/>
  <c r="D22" i="3" a="1"/>
  <c r="D15" i="3" a="1"/>
  <c r="D8" i="3" a="1"/>
  <c r="D2" i="3" a="1"/>
  <c r="D18" i="3" a="1"/>
  <c r="D21" i="3" a="1"/>
  <c r="D20" i="3" a="1"/>
  <c r="D3" i="3" a="1"/>
  <c r="D13" i="3" a="1"/>
  <c r="D4" i="3" a="1"/>
  <c r="D17" i="3" a="1"/>
  <c r="D6" i="3" a="1"/>
  <c r="D23" i="3" a="1"/>
  <c r="D14" i="3" a="1"/>
  <c r="D16" i="3" a="1"/>
  <c r="D9" i="3" a="1"/>
  <c r="D5" i="3" a="1"/>
  <c r="D1" i="3" a="1"/>
  <c r="D10" i="3" a="1"/>
  <c r="D7" i="3" a="1"/>
  <c r="D19" i="3" a="1"/>
  <c r="D21" i="3" l="1"/>
  <c r="D20" i="3"/>
  <c r="D11" i="3"/>
  <c r="D10" i="3"/>
  <c r="D19" i="3"/>
  <c r="D9" i="3"/>
  <c r="D18" i="3"/>
  <c r="D8" i="3"/>
  <c r="D17" i="3"/>
  <c r="D7" i="3"/>
  <c r="D16" i="3"/>
  <c r="D6" i="3"/>
  <c r="D15" i="3"/>
  <c r="D5" i="3"/>
  <c r="D14" i="3"/>
  <c r="D4" i="3"/>
  <c r="D23" i="3"/>
  <c r="G25" i="2" s="1"/>
  <c r="D13" i="3"/>
  <c r="D3" i="3"/>
  <c r="D22" i="3"/>
  <c r="G24" i="2" s="1"/>
  <c r="D12" i="3"/>
  <c r="D2" i="3"/>
  <c r="D1" i="3"/>
  <c r="G92" i="2" s="1"/>
  <c r="G5" i="2" l="1"/>
  <c r="G94" i="2"/>
  <c r="G15" i="2"/>
  <c r="G104" i="2"/>
  <c r="G6" i="2"/>
  <c r="L6" i="2" s="1"/>
  <c r="G95" i="2"/>
  <c r="G16" i="2"/>
  <c r="K16" i="2" s="1"/>
  <c r="G105" i="2"/>
  <c r="G7" i="2"/>
  <c r="K7" i="2" s="1"/>
  <c r="G96" i="2"/>
  <c r="G17" i="2"/>
  <c r="K17" i="2" s="1"/>
  <c r="G106" i="2"/>
  <c r="G8" i="2"/>
  <c r="L8" i="2" s="1"/>
  <c r="G97" i="2"/>
  <c r="G18" i="2"/>
  <c r="K18" i="2" s="1"/>
  <c r="G107" i="2"/>
  <c r="G9" i="2"/>
  <c r="K9" i="2" s="1"/>
  <c r="G98" i="2"/>
  <c r="G19" i="2"/>
  <c r="K19" i="2" s="1"/>
  <c r="G108" i="2"/>
  <c r="G10" i="2"/>
  <c r="G99" i="2"/>
  <c r="G20" i="2"/>
  <c r="K20" i="2" s="1"/>
  <c r="G109" i="2"/>
  <c r="G11" i="2"/>
  <c r="G100" i="2"/>
  <c r="G21" i="2"/>
  <c r="K21" i="2" s="1"/>
  <c r="G110" i="2"/>
  <c r="G12" i="2"/>
  <c r="K12" i="2" s="1"/>
  <c r="G101" i="2"/>
  <c r="L92" i="2"/>
  <c r="K92" i="2"/>
  <c r="G13" i="2"/>
  <c r="K13" i="2" s="1"/>
  <c r="G102" i="2"/>
  <c r="G4" i="2"/>
  <c r="K4" i="2" s="1"/>
  <c r="G93" i="2"/>
  <c r="G22" i="2"/>
  <c r="K22" i="2" s="1"/>
  <c r="G111" i="2"/>
  <c r="G14" i="2"/>
  <c r="L14" i="2" s="1"/>
  <c r="G103" i="2"/>
  <c r="G23" i="2"/>
  <c r="G112" i="2"/>
  <c r="K10" i="2"/>
  <c r="L10" i="2"/>
  <c r="L20" i="2"/>
  <c r="K23" i="2"/>
  <c r="L23" i="2"/>
  <c r="L5" i="2"/>
  <c r="K5" i="2"/>
  <c r="K24" i="2"/>
  <c r="L24" i="2"/>
  <c r="K15" i="2"/>
  <c r="L15" i="2"/>
  <c r="K25" i="2"/>
  <c r="L25" i="2"/>
  <c r="L16" i="2"/>
  <c r="K11" i="2"/>
  <c r="L11" i="2"/>
  <c r="E549" i="1"/>
  <c r="E111" i="1"/>
  <c r="E112" i="1"/>
  <c r="E122" i="1"/>
  <c r="E33" i="1"/>
  <c r="E102" i="1"/>
  <c r="E104" i="1"/>
  <c r="E106" i="1"/>
  <c r="E110" i="1"/>
  <c r="E107" i="1"/>
  <c r="E108" i="1"/>
  <c r="E124" i="1"/>
  <c r="E34" i="1"/>
  <c r="I3" i="2" a="1"/>
  <c r="I3" i="2" s="1"/>
  <c r="J3" i="2" a="1"/>
  <c r="J3" i="2" s="1"/>
  <c r="G3" i="2"/>
  <c r="K14" i="2" l="1"/>
  <c r="L4" i="2"/>
  <c r="L7" i="2"/>
  <c r="L19" i="2"/>
  <c r="L22" i="2"/>
  <c r="K8" i="2"/>
  <c r="K103" i="2"/>
  <c r="L103" i="2"/>
  <c r="L108" i="2"/>
  <c r="K108" i="2"/>
  <c r="L96" i="2"/>
  <c r="K96" i="2"/>
  <c r="L107" i="2"/>
  <c r="K107" i="2"/>
  <c r="K6" i="2"/>
  <c r="L13" i="2"/>
  <c r="L101" i="2"/>
  <c r="K101" i="2"/>
  <c r="L17" i="2"/>
  <c r="L21" i="2"/>
  <c r="L111" i="2"/>
  <c r="K111" i="2"/>
  <c r="L98" i="2"/>
  <c r="K98" i="2"/>
  <c r="K93" i="2"/>
  <c r="L93" i="2"/>
  <c r="K102" i="2"/>
  <c r="L102" i="2"/>
  <c r="K97" i="2"/>
  <c r="L97" i="2"/>
  <c r="L106" i="2"/>
  <c r="K106" i="2"/>
  <c r="K110" i="2"/>
  <c r="L110" i="2"/>
  <c r="K105" i="2"/>
  <c r="L105" i="2"/>
  <c r="L100" i="2"/>
  <c r="K100" i="2"/>
  <c r="L95" i="2"/>
  <c r="K95" i="2"/>
  <c r="L9" i="2"/>
  <c r="L12" i="2"/>
  <c r="L109" i="2"/>
  <c r="K109" i="2"/>
  <c r="K104" i="2"/>
  <c r="L104" i="2"/>
  <c r="L18" i="2"/>
  <c r="L112" i="2"/>
  <c r="K112" i="2"/>
  <c r="K99" i="2"/>
  <c r="L99" i="2"/>
  <c r="K94" i="2"/>
  <c r="L94" i="2"/>
  <c r="E408" i="1"/>
  <c r="E333" i="1"/>
  <c r="E487" i="1"/>
  <c r="E101" i="1"/>
  <c r="E117" i="1"/>
  <c r="E340" i="1"/>
  <c r="E85" i="1"/>
  <c r="E67" i="1"/>
  <c r="E236" i="1"/>
  <c r="E13" i="1"/>
  <c r="E326" i="1"/>
  <c r="E496" i="1"/>
  <c r="E498" i="1"/>
  <c r="E134" i="1"/>
  <c r="E51" i="1"/>
  <c r="E446" i="1"/>
  <c r="E486" i="1"/>
  <c r="E256" i="1"/>
  <c r="E346" i="1"/>
  <c r="E327" i="1"/>
  <c r="E80" i="1"/>
  <c r="E194" i="1"/>
  <c r="E128" i="1"/>
  <c r="E49" i="1"/>
  <c r="E594" i="1"/>
  <c r="E135" i="1"/>
  <c r="E276" i="1"/>
  <c r="E205" i="1"/>
  <c r="E453" i="1"/>
  <c r="E63" i="1"/>
  <c r="E578" i="1"/>
  <c r="E416" i="1"/>
  <c r="E589" i="1"/>
  <c r="E300" i="1"/>
  <c r="E11" i="1"/>
  <c r="E60" i="1"/>
  <c r="E376" i="1"/>
  <c r="E277" i="1"/>
  <c r="E516" i="1"/>
  <c r="E558" i="1"/>
  <c r="E297" i="1"/>
  <c r="E536" i="1"/>
  <c r="E69" i="1"/>
  <c r="E381" i="1"/>
  <c r="E44" i="1"/>
  <c r="E495" i="1"/>
  <c r="E165" i="1"/>
  <c r="E78" i="1"/>
  <c r="E547" i="1"/>
  <c r="E185" i="1"/>
  <c r="E43" i="1"/>
  <c r="E219" i="1"/>
  <c r="E545" i="1"/>
  <c r="E182" i="1"/>
  <c r="E53" i="1"/>
  <c r="E347" i="1"/>
  <c r="E198" i="1"/>
  <c r="E361" i="1"/>
  <c r="E488" i="1"/>
  <c r="E307" i="1"/>
  <c r="E580" i="1"/>
  <c r="E504" i="1"/>
  <c r="E450" i="1"/>
  <c r="E593" i="1"/>
  <c r="E351" i="1"/>
  <c r="E477" i="1"/>
  <c r="E525" i="1"/>
  <c r="E515" i="1"/>
  <c r="E304" i="1"/>
  <c r="E386" i="1"/>
  <c r="E275" i="1"/>
  <c r="E524" i="1"/>
  <c r="E439" i="1"/>
  <c r="E470" i="1"/>
  <c r="E414" i="1"/>
  <c r="E19" i="1"/>
  <c r="E478" i="1"/>
  <c r="E497" i="1"/>
  <c r="E571" i="1"/>
  <c r="E399" i="1"/>
  <c r="E449" i="1"/>
  <c r="E24" i="1"/>
  <c r="E562" i="1"/>
  <c r="E438" i="1"/>
  <c r="E490" i="1"/>
  <c r="E394" i="1"/>
  <c r="E39" i="1"/>
  <c r="E518" i="1"/>
  <c r="E517" i="1"/>
  <c r="E70" i="1"/>
  <c r="E588" i="1"/>
  <c r="E566" i="1"/>
  <c r="E64" i="1"/>
  <c r="E582" i="1"/>
  <c r="E564" i="1"/>
  <c r="E418" i="1"/>
  <c r="E510" i="1"/>
  <c r="E374" i="1"/>
  <c r="E59" i="1"/>
  <c r="E538" i="1"/>
  <c r="E600" i="1"/>
  <c r="E537" i="1"/>
  <c r="E23" i="1"/>
  <c r="E321" i="1"/>
  <c r="E392" i="1"/>
  <c r="E255" i="1"/>
  <c r="E440" i="1"/>
  <c r="E592" i="1"/>
  <c r="E98" i="1"/>
  <c r="E353" i="1"/>
  <c r="E192" i="1"/>
  <c r="E159" i="1"/>
  <c r="E54" i="1"/>
  <c r="E344" i="1"/>
  <c r="E413" i="1"/>
  <c r="E500" i="1"/>
  <c r="E212" i="1"/>
  <c r="E278" i="1"/>
  <c r="E199" i="1"/>
  <c r="E489" i="1"/>
  <c r="E544" i="1"/>
  <c r="E393" i="1"/>
  <c r="E560" i="1"/>
  <c r="E407" i="1"/>
  <c r="E328" i="1"/>
  <c r="E258" i="1"/>
  <c r="E548" i="1"/>
  <c r="E133" i="1"/>
  <c r="E245" i="1"/>
  <c r="E29" i="1"/>
  <c r="E317" i="1"/>
  <c r="E556" i="1"/>
  <c r="E511" i="1"/>
  <c r="E403" i="1"/>
  <c r="E139" i="1"/>
  <c r="E570" i="1"/>
  <c r="E530" i="1"/>
  <c r="E529" i="1"/>
  <c r="E454" i="1"/>
  <c r="E144" i="1"/>
  <c r="E314" i="1"/>
  <c r="E390" i="1"/>
  <c r="E16" i="1"/>
  <c r="E213" i="1"/>
  <c r="E598" i="1"/>
  <c r="E105" i="1"/>
  <c r="E576" i="1"/>
  <c r="E388" i="1"/>
  <c r="E590" i="1"/>
  <c r="E423" i="1"/>
  <c r="E400" i="1"/>
  <c r="E586" i="1"/>
  <c r="E93" i="1"/>
  <c r="E130" i="1"/>
  <c r="E187" i="1"/>
  <c r="E268" i="1"/>
  <c r="E421" i="1"/>
  <c r="E158" i="1"/>
  <c r="E410" i="1"/>
  <c r="E147" i="1"/>
  <c r="E378" i="1"/>
  <c r="E383" i="1"/>
  <c r="E550" i="1"/>
  <c r="E175" i="1"/>
  <c r="E431" i="1"/>
  <c r="E224" i="1"/>
  <c r="E8" i="1"/>
  <c r="E234" i="1"/>
  <c r="E154" i="1"/>
  <c r="E509" i="1"/>
  <c r="E574" i="1"/>
  <c r="E430" i="1"/>
  <c r="E398" i="1"/>
  <c r="E368" i="1"/>
  <c r="E86" i="1"/>
  <c r="E491" i="1"/>
  <c r="E66" i="1"/>
  <c r="E22" i="1"/>
  <c r="E31" i="1"/>
  <c r="E149" i="1"/>
  <c r="E14" i="1"/>
  <c r="E129" i="1"/>
  <c r="E567" i="1"/>
  <c r="E2" i="1"/>
  <c r="E451" i="1"/>
  <c r="E79" i="1"/>
  <c r="E138" i="1"/>
  <c r="E155" i="1"/>
  <c r="E471" i="1"/>
  <c r="E73" i="1"/>
  <c r="E91" i="1"/>
  <c r="E207" i="1"/>
  <c r="E90" i="1"/>
  <c r="E437" i="1"/>
  <c r="E58" i="1"/>
  <c r="E167" i="1"/>
  <c r="E308" i="1"/>
  <c r="E526" i="1"/>
  <c r="E561" i="1"/>
  <c r="E493" i="1"/>
  <c r="E583" i="1"/>
  <c r="E202" i="1"/>
  <c r="E153" i="1"/>
  <c r="E473" i="1"/>
  <c r="E563" i="1"/>
  <c r="E141" i="1"/>
  <c r="E56" i="1"/>
  <c r="E136" i="1"/>
  <c r="E282" i="1"/>
  <c r="E168" i="1"/>
  <c r="E337" i="1"/>
  <c r="E225" i="1"/>
  <c r="E259" i="1"/>
  <c r="E359" i="1"/>
  <c r="E409" i="1"/>
  <c r="E597" i="1"/>
  <c r="E577" i="1"/>
  <c r="E557" i="1"/>
  <c r="E310" i="1"/>
  <c r="E505" i="1"/>
  <c r="E507" i="1"/>
  <c r="E38" i="1"/>
  <c r="E302" i="1"/>
  <c r="E379" i="1"/>
  <c r="E480" i="1"/>
  <c r="E95" i="1"/>
  <c r="E36" i="1"/>
  <c r="E113" i="1"/>
  <c r="E427" i="1"/>
  <c r="E603" i="1"/>
  <c r="E295" i="1"/>
  <c r="E87" i="1"/>
  <c r="E584" i="1"/>
  <c r="E296" i="1"/>
  <c r="E358" i="1"/>
  <c r="E143" i="1"/>
  <c r="E435" i="1"/>
  <c r="E325" i="1"/>
  <c r="E146" i="1"/>
  <c r="E373" i="1"/>
  <c r="E474" i="1"/>
  <c r="E169" i="1"/>
  <c r="E41" i="1"/>
  <c r="E232" i="1"/>
  <c r="E426" i="1"/>
  <c r="E150" i="1"/>
  <c r="E96" i="1"/>
  <c r="E252" i="1"/>
  <c r="E254" i="1"/>
  <c r="E412" i="1"/>
  <c r="E262" i="1"/>
  <c r="E220" i="1"/>
  <c r="E18" i="1"/>
  <c r="E121" i="1"/>
  <c r="E200" i="1"/>
  <c r="E445" i="1"/>
  <c r="E569" i="1"/>
  <c r="E595" i="1"/>
  <c r="E367" i="1"/>
  <c r="E602" i="1"/>
  <c r="E315" i="1"/>
  <c r="E114" i="1"/>
  <c r="E444" i="1"/>
  <c r="E316" i="1"/>
  <c r="E12" i="1"/>
  <c r="E163" i="1"/>
  <c r="E415" i="1"/>
  <c r="E345" i="1"/>
  <c r="E166" i="1"/>
  <c r="E100" i="1"/>
  <c r="E494" i="1"/>
  <c r="E189" i="1"/>
  <c r="E81" i="1"/>
  <c r="E272" i="1"/>
  <c r="E4" i="1"/>
  <c r="E170" i="1"/>
  <c r="E21" i="1"/>
  <c r="E292" i="1"/>
  <c r="E274" i="1"/>
  <c r="E9" i="1"/>
  <c r="E467" i="1"/>
  <c r="E279" i="1"/>
  <c r="E89" i="1"/>
  <c r="E242" i="1"/>
  <c r="E318" i="1"/>
  <c r="E48" i="1"/>
  <c r="E382" i="1"/>
  <c r="E380" i="1"/>
  <c r="E180" i="1"/>
  <c r="E83" i="1"/>
  <c r="E425" i="1"/>
  <c r="E335" i="1"/>
  <c r="E137" i="1"/>
  <c r="E424" i="1"/>
  <c r="E336" i="1"/>
  <c r="E32" i="1"/>
  <c r="E183" i="1"/>
  <c r="E395" i="1"/>
  <c r="E452" i="1"/>
  <c r="E186" i="1"/>
  <c r="E17" i="1"/>
  <c r="E514" i="1"/>
  <c r="E209" i="1"/>
  <c r="E131" i="1"/>
  <c r="E312" i="1"/>
  <c r="E84" i="1"/>
  <c r="E190" i="1"/>
  <c r="E61" i="1"/>
  <c r="E352" i="1"/>
  <c r="E334" i="1"/>
  <c r="E148" i="1"/>
  <c r="E71" i="1"/>
  <c r="E338" i="1"/>
  <c r="E161" i="1"/>
  <c r="E447" i="1"/>
  <c r="E568" i="1"/>
  <c r="E241" i="1"/>
  <c r="E30" i="1"/>
  <c r="E26" i="1"/>
  <c r="E218" i="1"/>
  <c r="E542" i="1"/>
  <c r="E303" i="1"/>
  <c r="E173" i="1"/>
  <c r="E405" i="1"/>
  <c r="E355" i="1"/>
  <c r="E157" i="1"/>
  <c r="E404" i="1"/>
  <c r="E356" i="1"/>
  <c r="E52" i="1"/>
  <c r="E203" i="1"/>
  <c r="E375" i="1"/>
  <c r="E472" i="1"/>
  <c r="E206" i="1"/>
  <c r="E37" i="1"/>
  <c r="E534" i="1"/>
  <c r="E229" i="1"/>
  <c r="E191" i="1"/>
  <c r="E332" i="1"/>
  <c r="E174" i="1"/>
  <c r="E210" i="1"/>
  <c r="E479" i="1"/>
  <c r="E461" i="1"/>
  <c r="E208" i="1"/>
  <c r="E264" i="1"/>
  <c r="E475" i="1"/>
  <c r="E221" i="1"/>
  <c r="E555" i="1"/>
  <c r="E119" i="1"/>
  <c r="E554" i="1"/>
  <c r="E94" i="1"/>
  <c r="E115" i="1"/>
  <c r="E385" i="1"/>
  <c r="E462" i="1"/>
  <c r="E177" i="1"/>
  <c r="E384" i="1"/>
  <c r="E463" i="1"/>
  <c r="E72" i="1"/>
  <c r="E223" i="1"/>
  <c r="E118" i="1"/>
  <c r="E492" i="1"/>
  <c r="E226" i="1"/>
  <c r="E57" i="1"/>
  <c r="E434" i="1"/>
  <c r="E249" i="1"/>
  <c r="E211" i="1"/>
  <c r="E459" i="1"/>
  <c r="E214" i="1"/>
  <c r="E230" i="1"/>
  <c r="E151" i="1"/>
  <c r="E499" i="1"/>
  <c r="E521" i="1"/>
  <c r="E322" i="1"/>
  <c r="E468" i="1"/>
  <c r="E531" i="1"/>
  <c r="E280" i="1"/>
  <c r="E362" i="1"/>
  <c r="E201" i="1"/>
  <c r="E372" i="1"/>
  <c r="E178" i="1"/>
  <c r="E25" i="1"/>
  <c r="E55" i="1"/>
  <c r="E127" i="1"/>
  <c r="E432" i="1"/>
  <c r="E309" i="1"/>
  <c r="E331" i="1"/>
  <c r="E387" i="1"/>
  <c r="E290" i="1"/>
  <c r="E579" i="1"/>
  <c r="E10" i="1"/>
  <c r="E448" i="1"/>
  <c r="E244" i="1"/>
  <c r="E28" i="1"/>
  <c r="E342" i="1"/>
  <c r="E520" i="1"/>
  <c r="E257" i="1"/>
  <c r="E543" i="1"/>
  <c r="E75" i="1"/>
  <c r="E253" i="1"/>
  <c r="E273" i="1"/>
  <c r="E365" i="1"/>
  <c r="E482" i="1"/>
  <c r="E197" i="1"/>
  <c r="E364" i="1"/>
  <c r="E483" i="1"/>
  <c r="E92" i="1"/>
  <c r="E243" i="1"/>
  <c r="E15" i="1"/>
  <c r="E512" i="1"/>
  <c r="E246" i="1"/>
  <c r="E77" i="1"/>
  <c r="E533" i="1"/>
  <c r="E269" i="1"/>
  <c r="E251" i="1"/>
  <c r="E539" i="1"/>
  <c r="E294" i="1"/>
  <c r="E250" i="1"/>
  <c r="E171" i="1"/>
  <c r="E519" i="1"/>
  <c r="E601" i="1"/>
  <c r="E527" i="1"/>
  <c r="E575" i="1"/>
  <c r="E587" i="1"/>
  <c r="E339" i="1"/>
  <c r="E50" i="1"/>
  <c r="E465" i="1"/>
  <c r="E184" i="1"/>
  <c r="E228" i="1"/>
  <c r="E239" i="1"/>
  <c r="E286" i="1"/>
  <c r="E481" i="1"/>
  <c r="E99" i="1"/>
  <c r="E535" i="1"/>
  <c r="E506" i="1"/>
  <c r="E45" i="1"/>
  <c r="E46" i="1"/>
  <c r="E162" i="1"/>
  <c r="E572" i="1"/>
  <c r="E313" i="1"/>
  <c r="E5" i="1"/>
  <c r="E502" i="1"/>
  <c r="E217" i="1"/>
  <c r="E6" i="1"/>
  <c r="E503" i="1"/>
  <c r="E263" i="1"/>
  <c r="E35" i="1"/>
  <c r="E532" i="1"/>
  <c r="E266" i="1"/>
  <c r="E433" i="1"/>
  <c r="E289" i="1"/>
  <c r="E291" i="1"/>
  <c r="E599" i="1"/>
  <c r="E354" i="1"/>
  <c r="E270" i="1"/>
  <c r="E231" i="1"/>
  <c r="E559" i="1"/>
  <c r="E419" i="1"/>
  <c r="E402" i="1"/>
  <c r="E74" i="1"/>
  <c r="E188" i="1"/>
  <c r="E485" i="1"/>
  <c r="E396" i="1"/>
  <c r="E301" i="1"/>
  <c r="E284" i="1"/>
  <c r="E298" i="1"/>
  <c r="E460" i="1"/>
  <c r="E522" i="1"/>
  <c r="E237" i="1"/>
  <c r="E523" i="1"/>
  <c r="E142" i="1"/>
  <c r="E283" i="1"/>
  <c r="E552" i="1"/>
  <c r="E348" i="1"/>
  <c r="E248" i="1"/>
  <c r="E260" i="1"/>
  <c r="E466" i="1"/>
  <c r="E457" i="1"/>
  <c r="E369" i="1"/>
  <c r="E371" i="1"/>
  <c r="E305" i="1"/>
  <c r="E343" i="1"/>
  <c r="E428" i="1"/>
  <c r="E238" i="1"/>
  <c r="E591" i="1"/>
  <c r="E422" i="1"/>
  <c r="E68" i="1"/>
  <c r="E324" i="1"/>
  <c r="E320" i="1"/>
  <c r="E82" i="1"/>
  <c r="E350" i="1"/>
  <c r="E233" i="1"/>
  <c r="E389" i="1"/>
  <c r="E391" i="1"/>
  <c r="E553" i="1"/>
  <c r="E285" i="1"/>
  <c r="E323" i="1"/>
  <c r="E442" i="1"/>
  <c r="E464" i="1"/>
  <c r="E215" i="1"/>
  <c r="E429" i="1"/>
  <c r="E288" i="1"/>
  <c r="E360" i="1"/>
  <c r="E585" i="1"/>
  <c r="E152" i="1"/>
  <c r="E293" i="1"/>
  <c r="E573" i="1"/>
  <c r="E441" i="1"/>
  <c r="E484" i="1"/>
  <c r="E235" i="1"/>
  <c r="E179" i="1"/>
  <c r="E341" i="1"/>
  <c r="E508" i="1"/>
  <c r="E455" i="1"/>
  <c r="E204" i="1"/>
  <c r="E261" i="1"/>
  <c r="E42" i="1"/>
  <c r="E330" i="1"/>
  <c r="E193" i="1"/>
  <c r="E596" i="1"/>
  <c r="E411" i="1"/>
  <c r="E513" i="1"/>
  <c r="E265" i="1"/>
  <c r="E123" i="1"/>
  <c r="E443" i="1"/>
  <c r="E357" i="1"/>
  <c r="E195" i="1"/>
  <c r="E40" i="1"/>
  <c r="E172" i="1"/>
  <c r="E476" i="1"/>
  <c r="E287" i="1"/>
  <c r="E306" i="1"/>
  <c r="E145" i="1"/>
  <c r="E120" i="1"/>
  <c r="E216" i="1"/>
  <c r="E47" i="1"/>
  <c r="E65" i="1"/>
  <c r="E299" i="1"/>
  <c r="E319" i="1"/>
  <c r="E281" i="1"/>
  <c r="E551" i="1"/>
  <c r="E565" i="1"/>
  <c r="E401" i="1"/>
  <c r="E366" i="1"/>
  <c r="E311" i="1"/>
  <c r="E20" i="1"/>
  <c r="E132" i="1"/>
  <c r="E456" i="1"/>
  <c r="E267" i="1"/>
  <c r="E126" i="1"/>
  <c r="E125" i="1"/>
  <c r="E377" i="1"/>
  <c r="E196" i="1"/>
  <c r="E27" i="1"/>
  <c r="E581" i="1"/>
  <c r="E222" i="1"/>
  <c r="E160" i="1"/>
  <c r="E528" i="1"/>
  <c r="E406" i="1"/>
  <c r="E271" i="1"/>
  <c r="E97" i="1"/>
  <c r="E109" i="1"/>
  <c r="E349" i="1"/>
  <c r="E247" i="1"/>
  <c r="E103" i="1"/>
  <c r="E397" i="1"/>
  <c r="E176" i="1"/>
  <c r="E7" i="1"/>
  <c r="E541" i="1"/>
  <c r="E458" i="1"/>
  <c r="E181" i="1"/>
  <c r="E140" i="1"/>
  <c r="E240" i="1"/>
  <c r="E116" i="1"/>
  <c r="E420" i="1"/>
  <c r="E164" i="1"/>
  <c r="E546" i="1"/>
  <c r="E88" i="1"/>
  <c r="E469" i="1"/>
  <c r="E540" i="1"/>
  <c r="E370" i="1"/>
  <c r="E62" i="1"/>
  <c r="E329" i="1"/>
  <c r="E227" i="1"/>
  <c r="E76" i="1"/>
  <c r="E436" i="1"/>
  <c r="E417" i="1"/>
  <c r="E156" i="1"/>
  <c r="E363" i="1"/>
  <c r="E501" i="1"/>
  <c r="L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<sst xmlns="http://schemas.openxmlformats.org/spreadsheetml/2006/main" count="3404" uniqueCount="1437">
  <si>
    <t>ID</t>
  </si>
  <si>
    <t>Comment</t>
  </si>
  <si>
    <t>pregnant_women_received_ANC_First_visit_by_gestational_week</t>
  </si>
  <si>
    <t>ANC_1stV_GA.1:ANC:Total Number of pregnant women that received ANC First visit by gestational week</t>
  </si>
  <si>
    <t>pregnant_women_received_ANC_First_visit_by_gw_less_than_16</t>
  </si>
  <si>
    <t>ANC_1stV_GA.1.1:ANC:&lt;16 weeks gestation</t>
  </si>
  <si>
    <t>pregnant_women_received_ANC_First_visit_by_gw_geq_to_16</t>
  </si>
  <si>
    <t>ANC_1stV_GA.1.2:ANC:&gt;16 weeks gestation</t>
  </si>
  <si>
    <t>ANC_1stV_MA_1_1</t>
  </si>
  <si>
    <t>ANC_1stV_MA.1.1:ANC:Pregnant women aged 10 to 14 years that received ANC first visit</t>
  </si>
  <si>
    <t>ANC_1stV_MA_1_2</t>
  </si>
  <si>
    <t>ANC_1stV_MA.1.2:ANC:Pregnant women aged 15 to 19 years that received ANC first visit</t>
  </si>
  <si>
    <t>ANC_1stV_MA_1_3</t>
  </si>
  <si>
    <t>ANC_1stV_MA.1.3:ANC:Pregnant women above 20 years that received ANC first visit</t>
  </si>
  <si>
    <t>number_of_pregnant_received_anc_first_visit</t>
  </si>
  <si>
    <t>ANC_1stV_MA.1:ANC:Number of pregnant women that received ANC first visit by maternal age</t>
  </si>
  <si>
    <t>number_of_postnatal_visits_within_7_days</t>
  </si>
  <si>
    <t>PNC_E1stV.1:Birth Attendants (BA):Number of postnatal visits within 7 days of delivery</t>
  </si>
  <si>
    <t>number_of_children_under_one_yr_received_bcg</t>
  </si>
  <si>
    <t>EPI_BCG1:Immunization (EPI):Number of children under one yr of age who have received BCG vaccine</t>
  </si>
  <si>
    <t>number_of_children_under_two_yr_measles_second_dose</t>
  </si>
  <si>
    <t>EPI_MCV2.1:Immunization (EPI):Number of children under two yr of age who have received measles second dose vaccine</t>
  </si>
  <si>
    <t>number_of_girls_9yr_received_first_dose_of_human_papilloma</t>
  </si>
  <si>
    <t>EPI_HPV1.1:Immunization (EPI):Number of girls 9 yr of age who have received first dose of human papilloma virus vaccine</t>
  </si>
  <si>
    <t>Number_of_women_who_have_received_TT1_vaccination</t>
  </si>
  <si>
    <t>MV_TT1.1:Immunization (EPI):Number of women who have received TT1 vaccination</t>
  </si>
  <si>
    <t>Number_of_women_who_have_received_TT2_vaccination</t>
  </si>
  <si>
    <t>MV_TT2.1:Immunization (EPI):Number of women who have received TT2 vaccination</t>
  </si>
  <si>
    <t>Number_of_women_who_have_received_TT3_vaccination</t>
  </si>
  <si>
    <t>MV.TT3.1:Immunization (EPI):Number of women who have received TT3 vaccination</t>
  </si>
  <si>
    <t>Number_of_women_who_have_received_TT4_vaccination</t>
  </si>
  <si>
    <t>MV.TT4.1:Immunization (EPI):Number of women who have received TT4 vaccination</t>
  </si>
  <si>
    <t>Number_of_women_who_have_received_TT5_vaccination</t>
  </si>
  <si>
    <t>MV.TT5.1:Immunization (EPI):Number of women who have received TT5 vaccination</t>
  </si>
  <si>
    <t>children_who_treated_for_diarrhea_by_ors_and_zinc</t>
  </si>
  <si>
    <t>CHIM_DhRX.1:Child Health:Treated by ORS &amp; Zinc</t>
  </si>
  <si>
    <t>children_who_treated_for_diarrhea_by_ors</t>
  </si>
  <si>
    <t>CHIM_DhRX.2:Child Health:Treated by ORS only</t>
  </si>
  <si>
    <t>fp_contraceptive_acceptance_rate</t>
  </si>
  <si>
    <t>RMH_FP_CAR:Family Planning:Contraceptive acceptANCe rate</t>
  </si>
  <si>
    <t>fp_new_at_10_to_14</t>
  </si>
  <si>
    <t>FP_CAR_Age.1.1:Family Planning:10-14 yr</t>
  </si>
  <si>
    <t>fp_new_at_15_to_19</t>
  </si>
  <si>
    <t>FP_CAR_Age.1.2:Family Planning:15-19 yr</t>
  </si>
  <si>
    <t>fp_new_at_20_to_24</t>
  </si>
  <si>
    <t>FP_CAR_Age.1.3:Family Planning:20 - 24 yr</t>
  </si>
  <si>
    <t>fp_new_at_25_to_29</t>
  </si>
  <si>
    <t>FP_CAR_Age.1.4:Family Planning:25 -29 yr</t>
  </si>
  <si>
    <t>fp_new_at_30_to_49</t>
  </si>
  <si>
    <t>FP_CAR_Age.1.5:Family Planning:30 -49 yr</t>
  </si>
  <si>
    <t>fp_repeat_at_10_to_14</t>
  </si>
  <si>
    <t>FP_CAR_Age.2.1:Family Planning:10-14 yr</t>
  </si>
  <si>
    <t>fp_repeat_at_15_to_19</t>
  </si>
  <si>
    <t>FP_CAR_Age.2.2:Family Planning:15-19 yr</t>
  </si>
  <si>
    <t>fp_repeat_at_20_to_24</t>
  </si>
  <si>
    <t>FP_CAR_Age.2.3:Family Planning:20 - 24 yr</t>
  </si>
  <si>
    <t>fp_repeat_at_25_to_29</t>
  </si>
  <si>
    <t>FP_CAR_Age.2.4:Family Planning:25 -29 yr</t>
  </si>
  <si>
    <t>fp_repeat_at_30_to_49</t>
  </si>
  <si>
    <t>FP_CAR_Age.2.5:Family Planning:30 -49 yr</t>
  </si>
  <si>
    <t>fp_new_oral_contraceptives</t>
  </si>
  <si>
    <t>FP_CAR_Mtd.1.1:Family Planning:Oral contraceptives</t>
  </si>
  <si>
    <t>fp_new_injectables</t>
  </si>
  <si>
    <t>FP_CAR_Mtd.1.2:Family Planning:Injectable</t>
  </si>
  <si>
    <t>fp_new_implants</t>
  </si>
  <si>
    <t>FP_CAR_Mtd.1.3:Family Planning:Implants</t>
  </si>
  <si>
    <t>fp_new_iucd</t>
  </si>
  <si>
    <t>FP_CAR_Mtd.1.4:Family Planning:IUCD</t>
  </si>
  <si>
    <t>fp_repeat_oral_contraceptives</t>
  </si>
  <si>
    <t>FP_CAR_Mtd.2.1:Family Planning:Oral contraceptives</t>
  </si>
  <si>
    <t>fp_repeat_injectables</t>
  </si>
  <si>
    <t>FP_CAR_Mtd.2.2:Family Planning:Injectable</t>
  </si>
  <si>
    <t>fp_repeat_implants</t>
  </si>
  <si>
    <t>FP_CAR_Mtd.2.3:Family Planning:Implants</t>
  </si>
  <si>
    <t>fp_repeat_iucd</t>
  </si>
  <si>
    <t>FP_CAR_Mtd.2.4:Family Planning:IUCD</t>
  </si>
  <si>
    <t>fp_at_10_to_14</t>
  </si>
  <si>
    <t>FP_IPPF_Age.1:Family Planning:10-14 yr</t>
  </si>
  <si>
    <t>fp_at_15_to_19</t>
  </si>
  <si>
    <t>FP_IPPF_Age.2:Family Planning:15-19 yr</t>
  </si>
  <si>
    <t>fp_at_20_to_24</t>
  </si>
  <si>
    <t>FP_IPPF_Age.3:Family Planning:20 - 24 yr</t>
  </si>
  <si>
    <t>fp_at_25_to_29</t>
  </si>
  <si>
    <t>FP_IPPF_Age.4:Family Planning:25 -29 yr</t>
  </si>
  <si>
    <t>fp_at_30_to_49</t>
  </si>
  <si>
    <t>FP_IPPF_Age.5:Family Planning:30-49 yr</t>
  </si>
  <si>
    <t>fp_oral_contraceptives</t>
  </si>
  <si>
    <t>FP_IPPF_Mtd.1:Family Planning:Pills(POP)</t>
  </si>
  <si>
    <t>fp_implants</t>
  </si>
  <si>
    <t>FP_IPPF_Mtd.2:Family Planning:Implants</t>
  </si>
  <si>
    <t>fp_iucd</t>
  </si>
  <si>
    <t>FP_IPPF_Mtd.3:Family Planning:IUCD</t>
  </si>
  <si>
    <t>still_births</t>
  </si>
  <si>
    <t>L&amp;D_SBR.SB:Birth Attendants (BA):Number of still births</t>
  </si>
  <si>
    <t>still_live</t>
  </si>
  <si>
    <t>L&amp;D_SBR.LB:Birth Attendants (BA):Number of Live births</t>
  </si>
  <si>
    <t>postnatal_0_24</t>
  </si>
  <si>
    <t>PNC_E1stV.1.1:Birth Attendants (BA):Early first postnatal care attendANCes 0-24 hrs</t>
  </si>
  <si>
    <t>postnatal_25_48</t>
  </si>
  <si>
    <t>PNC_E1stV.1.3:Birth Attendants (BA):Early first postnatal care attendANCes 25-48 hrs</t>
  </si>
  <si>
    <t>postnatal_49_72</t>
  </si>
  <si>
    <t>PNC_E1stV.1.4:Birth Attendants (BA):Early first postnatal care attendANCes49-72 hrs</t>
  </si>
  <si>
    <t>postnatal_73_168</t>
  </si>
  <si>
    <t>PNC_E1stV.1.5:Birth Attendants (BA):Early first postnatal care attendANCes 73hrs-7 days</t>
  </si>
  <si>
    <t>deaths_of_home</t>
  </si>
  <si>
    <t>CMD_CMMR.1.1:Birth Attendants (BA):Number of maternal deaths at home</t>
  </si>
  <si>
    <t>deaths_on_the_way</t>
  </si>
  <si>
    <t>CMD_CMMR.1.2:Birth Attendants (BA):Number of maternal deaths on the way to health facility</t>
  </si>
  <si>
    <t>deaths_at_health_post</t>
  </si>
  <si>
    <t>CMD_CMMR.1.3:Birth Attendants (BA):Number of maternal deaths at health post</t>
  </si>
  <si>
    <t>penta1</t>
  </si>
  <si>
    <t>EPI_Penta1.1:Immunization (EPI):Number of children under one yr of age who have received first dose of pentavalent vaccine</t>
  </si>
  <si>
    <t>penta3</t>
  </si>
  <si>
    <t>EPI_Penta3.1:Immunization (EPI):Number of children under one yr of age who have received third dose of pentavalent vaccine</t>
  </si>
  <si>
    <t>pcv1</t>
  </si>
  <si>
    <t>EPI_PCV1.1:Immunization (EPI):Number of children under one yr of age who have received first dose of pneumococcal vaccine</t>
  </si>
  <si>
    <t>pcv3</t>
  </si>
  <si>
    <t>EPI_PCV3.1:Immunization (EPI):Number of children under one yr of age who have received third dose of pneumococcal vaccine</t>
  </si>
  <si>
    <t>ipv</t>
  </si>
  <si>
    <t>EPI_IPV.1:Immunization (EPI):Number of children under one yr of age who have received one dose of inactivated polio vaccine</t>
  </si>
  <si>
    <t>rota1</t>
  </si>
  <si>
    <t>EPI_RT1.1:Immunization (EPI):Number of children under one yr of age who have received first dose of Rotavirus vaccine</t>
  </si>
  <si>
    <t>rota2</t>
  </si>
  <si>
    <t>EPI_RT1.2:Immunization (EPI):Number of children under one yr of age who have received 2nd dose of Rotavirus vaccine</t>
  </si>
  <si>
    <t>measles_1</t>
  </si>
  <si>
    <t>EPI_MCV1.1:Immunization (EPI):Number of children under one yr of age who have received first dose of measles vaccine</t>
  </si>
  <si>
    <t>infants_whose_mother</t>
  </si>
  <si>
    <t>s#check#</t>
  </si>
  <si>
    <t>total_births_in_kebele</t>
  </si>
  <si>
    <t>NCH_LB_kebele:Child Health:Total number of live births in the kebele</t>
  </si>
  <si>
    <t>number_of_under_5__pnemonia</t>
  </si>
  <si>
    <t>CHIM_PnRX.1:Child Health:Number of under 5 children treated for pneumonia</t>
  </si>
  <si>
    <t>CHIM_VSD_1</t>
  </si>
  <si>
    <t>CHIM_VSD.1:Child Health:Number of sick young infants 0-2 months treated for sepsis</t>
  </si>
  <si>
    <t>CHIM_VSD_2</t>
  </si>
  <si>
    <t>CHIM_VSD.2:Child Health:Number of sick young infants 0-2 months treated for local bacterial infection(LBI)</t>
  </si>
  <si>
    <t>NTR_VAS_2_1</t>
  </si>
  <si>
    <t>NTR_VAS.2.1:Nutrition::Total number of children aged 6-59 months who received Vitamin A supplementation dis aggregated by dose-:First dose</t>
  </si>
  <si>
    <t>CHIM_ECND_2_1</t>
  </si>
  <si>
    <t>CHIM_ECND.2.1:Child Health:Early neonatal death at home</t>
  </si>
  <si>
    <t>CHIM_ECND_2_2</t>
  </si>
  <si>
    <t>CHIM_ECND.2.2:Child Health:Early neonatal death at HP</t>
  </si>
  <si>
    <t>CHIM_ECND_2_3</t>
  </si>
  <si>
    <t>CHIM_ECND.2.3:Child Health:Early neonatal death on the way to health facility</t>
  </si>
  <si>
    <t>NTR_VAS_1</t>
  </si>
  <si>
    <t>NTR_VAS.1:Nutrition:Total number of children aged 6-59 months who received Vitamin A supplementation dis aggregated by age</t>
  </si>
  <si>
    <t>CHIM_ECND_1_1</t>
  </si>
  <si>
    <t>CHIM_ECND.1.1:Child Health:Number of neonatal deaths in the first 24 hrs of life/community/</t>
  </si>
  <si>
    <t>CHIM_ECND_1_2</t>
  </si>
  <si>
    <t>CHIM_ECND.1.2:Child Health:Number of neonatal deaths between 1 -7 days of life/community</t>
  </si>
  <si>
    <t>CHIM_ECND_1</t>
  </si>
  <si>
    <t>CHIM_ECND.1:Child Health:Early neonatal death at community dis aggregated by time of death</t>
  </si>
  <si>
    <t>antenatal_care_coverage_four_visits_from_gte_20_yr</t>
  </si>
  <si>
    <t>ANC_4thV_MA.1.3:ANC:&gt; 20 yr</t>
  </si>
  <si>
    <t>ANC_4thV_MA_1_1</t>
  </si>
  <si>
    <t>ANC_4thV_MA.1.1:ANC:Pregnant women aged 10 to 14 years that received four ANC visits</t>
  </si>
  <si>
    <t>antenatal_care_coverage_four_visits_from_15_19_yr</t>
  </si>
  <si>
    <t>ANC_4thV_MA.1.2:Family Planning:15-19 yr</t>
  </si>
  <si>
    <t>number_of_pregnant_received_anc_four_visit</t>
  </si>
  <si>
    <t>ANC_4thV_MA.1:ANC:Total number of pregnant women that received four antenatal care visits dis aggregated by maternal age</t>
  </si>
  <si>
    <t>deaths_first_seven_days</t>
  </si>
  <si>
    <t>CHIM_ECND.2:Child Health:Early neonatal death at community dis aggregated by place of death</t>
  </si>
  <si>
    <t>nch_chim_pnrx</t>
  </si>
  <si>
    <t>NCH_CHIM_PnRX:Under-five children with pneumonia received antibiotic treatment</t>
  </si>
  <si>
    <t>nch_chim_vsd</t>
  </si>
  <si>
    <t>NCH_CHIM_VSD:Sick Young infant treated for sepsis / VSD (Very Severe Disease )</t>
  </si>
  <si>
    <t>nch_chim_dhrx</t>
  </si>
  <si>
    <t>NCH_CHIM_DhRX:Proportion of children who are treated for Diarrhea</t>
  </si>
  <si>
    <t>nch_chim_asfxrs</t>
  </si>
  <si>
    <t>NCH_CHIM_AsfxRS.2:Asphyxiated neonates who were resuscitated (with bag &amp; mask) and survived</t>
  </si>
  <si>
    <t>nch_chim_ecnd</t>
  </si>
  <si>
    <t>NCH_CHIM_ECND:Child Health:Early neonatal death at community **************</t>
  </si>
  <si>
    <t>MAT_CAR_Mtd_1_7</t>
  </si>
  <si>
    <t>Contraceptive new acceptors by method - Others(MAT_CAR_Mtd17):Family Planning</t>
  </si>
  <si>
    <t>MAT_CAR_Mtd_2_7</t>
  </si>
  <si>
    <t>Contraceptive repeat acceptors by method - Others(MAT_CAR_Mtd27):Family Planning</t>
  </si>
  <si>
    <t>FP_IPPF_Mtd_5_</t>
  </si>
  <si>
    <t>Total Immediate Postpartum Contraceptive acceptors disaggregated by method - Others(FP_IPPF_Mtd5):Family Planning</t>
  </si>
  <si>
    <t>MAT_LAFPPR_1_1</t>
  </si>
  <si>
    <t>Total number of premature removal of LAFP within 6 month insertion - Implants(MAT_LAFPPR11):Family Planning</t>
  </si>
  <si>
    <t>MAT_LAFPPR_1_2</t>
  </si>
  <si>
    <t>Total number of premature removal of LAFP within 6 month insertion - IUCD(MAT_LAFPPR.1. 2):Family Planning</t>
  </si>
  <si>
    <t>MAT_LAFPPR_1_3</t>
  </si>
  <si>
    <t>Total number of premature removal of LAFP within 6 month insertion - Others(MAT_LAFPPR.1. 3):Family Planning</t>
  </si>
  <si>
    <t>MAT_TLAFPR_</t>
  </si>
  <si>
    <t>Total number of premature removal of LAFP within 6 month insertion - Total LAFP removal in the reporting period(MAT_TLAFPR.):Family Planning</t>
  </si>
  <si>
    <t>MAT_ANC1_GA_1_1</t>
  </si>
  <si>
    <t>Total Number of pregnant women that received antenatal care First contact by gestational week - &lt;= 12 weeks(MAT_ANC1_GA.1. 1):ANC</t>
  </si>
  <si>
    <t>MAT_ANC4+_GA_1_1</t>
  </si>
  <si>
    <t>Total number of pregnant women that received four or more antenatal care contacts by gestational week - &lt;= 30 weeks(MAT_ANC4+_GA.1. 1):ANC</t>
  </si>
  <si>
    <t>MAT_ANC4+_GA_1_2</t>
  </si>
  <si>
    <t>Total number of pregnant women that received four or more antenatal care contacts by gestational week - &gt; 30 weeks(MAT_ANC4+_GA.1. 2):ANC</t>
  </si>
  <si>
    <t>MAT_B&amp;D_CBN_1_</t>
  </si>
  <si>
    <t>Birth and Death Notifications - Number of Community birth notifications given(MAT_B&amp;D_CBN_1.):Birth Attendants (BA)</t>
  </si>
  <si>
    <t>MAT_B&amp;D_CDN_2_</t>
  </si>
  <si>
    <t>Birth and Death Notifications - Number of Community death notifications given(MAT_B&amp;D_CDN_2.):Birth Attendants (BA)</t>
  </si>
  <si>
    <t>MAT_EPNC_1</t>
  </si>
  <si>
    <t>Number of postnatal visits within 7 days of delivery - Number of postnatal visits within 7 days of delivery(MAT_EPNC.1):Birth Attendants (BA)</t>
  </si>
  <si>
    <t>MAT_EPNC_1_1</t>
  </si>
  <si>
    <t>Number of postnatal visits within 7 days of delivery - 0 - 24 hrs(MAT_EPNC.1. 1):Birth Attendants (BA)</t>
  </si>
  <si>
    <t>MAT_EPNC_1_3</t>
  </si>
  <si>
    <t>Number of postnatal visits within 7 days of delivery - 25 - 48 hrs (1 - 2 days)(MAT_EPNC.1. 3):Birth Attendants (BA)</t>
  </si>
  <si>
    <t>MAT_EPNC_1_4</t>
  </si>
  <si>
    <t>Number of postnatal visits within 7 days of delivery - 49 - 72 hrs (2 - 3 days)(MAT_EPNC.1. 4):Birth Attendants (BA)</t>
  </si>
  <si>
    <t>MAT_EPNC_1_5</t>
  </si>
  <si>
    <t>Number of postnatal visits within 7 days of delivery - 73 hrs - 7 days (4 - 7 days)(MAT_EPNC.1. 5):Birth Attendants (BA)</t>
  </si>
  <si>
    <t>CH_CND_LB_kebele_</t>
  </si>
  <si>
    <t>Neonatal death at community disaggregated by place of death - Total number of live births in the kebele(CH_CND_LB_kebele.):Child Health</t>
  </si>
  <si>
    <t>CH_TX_SYI_1_3</t>
  </si>
  <si>
    <t>Number of sick young infants 0-2 months treated for Critical illness - Treated for Pneumonia(CH_TX_SYI.1. 3):Child Health</t>
  </si>
  <si>
    <t>CH_ASPH_2_</t>
  </si>
  <si>
    <t>Asphyxiated neonates who were resuscitated (with bag &amp; mask) and survived - Total number of neonates resuscitated(CH_ASPH.2.):Child Health</t>
  </si>
  <si>
    <t>CH_CHX_1_</t>
  </si>
  <si>
    <t>Newborns that received at least one dose of CHX to the cord on the first day after birth - Number of Newborns that received at least one dose of CHX to the cord on the first day after birth(CH_CHX.1.):Child Health</t>
  </si>
  <si>
    <t>EPI_OPV1_1_</t>
  </si>
  <si>
    <t>Number of Live births who receive a HepB-Birth dose(BD) - Number of children under one year of age who have received first dose of polio vaccine(EPI_OPV1.1.):EPI</t>
  </si>
  <si>
    <t>EPI_OPV3_1_</t>
  </si>
  <si>
    <t>Number of Live births who receive a HepB-Birth dose(BD) - Number of children under one year of age who have received third dose of Polio vaccine(EPI_OPV3.1.):EPI</t>
  </si>
  <si>
    <t>EPI_FI_1_</t>
  </si>
  <si>
    <t>Number of Live births who receive a HepB-Birth dose(BD) - Number of children received all vaccine doses before 1st birthday(EPI_FI.1.):EPI</t>
  </si>
  <si>
    <t>EPI_VWR_BCG_giv_</t>
  </si>
  <si>
    <t>BCG Vaccine wastage rate - BCG doses given (all ages)(EPI_VWR_BCG_giv.):EPI</t>
  </si>
  <si>
    <t>EPI_VWR_BCG_dam_</t>
  </si>
  <si>
    <t>BCG Vaccine wastage rate - BCG doses damaged(EPI_VWR_BCG_dam.):EPI</t>
  </si>
  <si>
    <t>EPI_VWR_BCG_dis_</t>
  </si>
  <si>
    <t>BCG Vaccine wastage rate - BCG doses expired(EPI_VWR_BCG_dis.):EPI</t>
  </si>
  <si>
    <t>EPI_VWR_Penta_giv_</t>
  </si>
  <si>
    <t>Penta Vaccine wastage rate - Pentavalent (DPT-HepB-Hib) doses given (all ages)(EPI_VWR_Penta_giv.):EPI</t>
  </si>
  <si>
    <t>EPI_VWR_Penta_dam_</t>
  </si>
  <si>
    <t>Penta Vaccine wastage rate - Pentavalent (DPT-HepB-Hib) doses damaged(EPI_VWR_Penta_dam.):EPI</t>
  </si>
  <si>
    <t>EPI_VWR_Penta_dis_</t>
  </si>
  <si>
    <t>Penta Vaccine wastage rate - Pentavalent (DPT-HepB-Hib) doses expired(EPI_VWR_Penta_dis.):EPI</t>
  </si>
  <si>
    <t>EPI_VWR_PCV_giv_</t>
  </si>
  <si>
    <t>PCV Vaccine wastage rate - Pneumococcal conjugated vaccine doses given(EPI_VWR_PCV_giv.):EPI</t>
  </si>
  <si>
    <t>EPI_VWR_PCV_dam_</t>
  </si>
  <si>
    <t>PCV Vaccine wastage rate - Pneumococcal conjugated vaccine doses damaged(EPI_VWR_PCV_dam.):EPI</t>
  </si>
  <si>
    <t>EPI_VWR_PCV_dis_</t>
  </si>
  <si>
    <t>PCV Vaccine wastage rate - Pneumococcal conjugated vaccine doses expired(EPI_VWR_PCV-dis.):EPI</t>
  </si>
  <si>
    <t>EPI_VWR_RT_giv_</t>
  </si>
  <si>
    <t>Rota Vaccine wastage rate - Rota doses give (all ages)(EPI_VWR_RT_giv.):EPI</t>
  </si>
  <si>
    <t>EPI_VWR_RT_dam_</t>
  </si>
  <si>
    <t>Rota Vaccine wastage rate - Rota doses damaged(EPI_VWR_RT_dam.):EPI</t>
  </si>
  <si>
    <t>EPI_VWR_RT_dis_</t>
  </si>
  <si>
    <t>Rota Vaccine wastage rate - Rota doses expired(EPI_VWR_RT_dis.):EPI</t>
  </si>
  <si>
    <t>EPI_VWR_PV_giv_</t>
  </si>
  <si>
    <t>Polio Vaccine wastage rate - Polio doses given (all ages)(EPI_VWR_PV_giv.):EPI</t>
  </si>
  <si>
    <t>EPI_VWR_PV_dam_</t>
  </si>
  <si>
    <t>Polio Vaccine wastage rate - Polio doses damaged(EPI_VWR_PV_dam.):EPI</t>
  </si>
  <si>
    <t>EPI_VWR_PV_dis_</t>
  </si>
  <si>
    <t>Polio Vaccine wastage rate - Polio doses expired(EPI_VWR_PV_dis.):EPI</t>
  </si>
  <si>
    <t>EPI_VWR_MCV_giv_</t>
  </si>
  <si>
    <t>Measles Vaccine wastage rate - Measles doses given (all ages)(EPI_VWR_MCV_giv.):EPI</t>
  </si>
  <si>
    <t>EPI_VWR_MCV_dam_</t>
  </si>
  <si>
    <t>Measles Vaccine wastage rate - Measles doses damaged(EPI_VWR_MCV_dam.):EPI</t>
  </si>
  <si>
    <t>EPI_VWR_MCV_dis_</t>
  </si>
  <si>
    <t>Measles Vaccine wastage rate - Measles doses expired(EPI_VWR_MCV_dis.):EPI</t>
  </si>
  <si>
    <t>EPI_VWR_IPV_giv_</t>
  </si>
  <si>
    <t>IPV Vaccine wastage rate - IPV doses given(EPI_VWR_IPV_giv.):EPI</t>
  </si>
  <si>
    <t>EPI_VWR_IPV_dam_</t>
  </si>
  <si>
    <t>IPV Vaccine wastage rate - IPV doses damaged(EPI_VWR_IPV_dam.):EPI</t>
  </si>
  <si>
    <t>EPI_VWR_IPV_dis_</t>
  </si>
  <si>
    <t>IPV Vaccine wastage rate - IPV doses expired(EPI_VWR_IPV_dis.):EPI</t>
  </si>
  <si>
    <t>EPI_VWR_HPV_giv_</t>
  </si>
  <si>
    <t>HPV Vaccine wastage rate - HPV doses given(EPI_VWR_HPV_giv.):EPI</t>
  </si>
  <si>
    <t>Number_of_children_less_than_2_yr_weighted_during_GMP_session</t>
  </si>
  <si>
    <t>NTR_GMP.1:Nutrition:Number of children less than 2 yr weighted during GMP session</t>
  </si>
  <si>
    <t>moderate_malnutrition_moderate_Underweight</t>
  </si>
  <si>
    <t>NTR_GMP.MAM.1:Nutrition:Number of weights recorded with moderate malnutrition, by age (Zscore between -2 and -3) : moderate Underweight</t>
  </si>
  <si>
    <t>severe_malnutrition_by_age_Severely_underweight</t>
  </si>
  <si>
    <t>GMP_SAM:Nutrition:Number of weights recorded with severe malnutrition, by age (Zscore below (-3) : Severely underweight</t>
  </si>
  <si>
    <t>sam_at_0_59_months_moderate</t>
  </si>
  <si>
    <t>S4AM.MAM.1:Nutrition:Number of &lt;5yr children screened and have moderate acute malnutrition</t>
  </si>
  <si>
    <t>sam_at_0_59_months_severe</t>
  </si>
  <si>
    <t>S4AM.SAM.1:Nutrition:Number of U5 yr children screened and have severe acute malnutrition</t>
  </si>
  <si>
    <t>number_of_children_medical_transfer</t>
  </si>
  <si>
    <t>SAM_RXO.1.6:Nutrition:Number of children medical transfer/FIX REPORT DATE/</t>
  </si>
  <si>
    <t>number_of_children_who_exit_from_sever_acute_malnutrition_treat</t>
  </si>
  <si>
    <t>NTR_SAM_Ext:Nutrition:Total number of children who exit from severe acute malnutrition treatment</t>
  </si>
  <si>
    <t>number_of_children_with_sam_admitted_to_TFP</t>
  </si>
  <si>
    <t>NTR_SAM_Adt:Nutrition:Number of children with SAM admitted to TFP(OTP) during the reporting period/FIX DATE/</t>
  </si>
  <si>
    <t>number_of_children_aged_6_to_11_received_vit_A</t>
  </si>
  <si>
    <t>NTR_VAS.1.1:Nutrition:Age: 6-11 months</t>
  </si>
  <si>
    <t>number_of_children_aged_12_to_59_received_vit_A</t>
  </si>
  <si>
    <t>NTR_VAS.1.2:Nutrition:Age: 12- 59 Months</t>
  </si>
  <si>
    <t>number_of_children_aged_6_to_59_received_vit_A_second_dose</t>
  </si>
  <si>
    <t>NTR_VAS.2.2:Nutrition::Second dose</t>
  </si>
  <si>
    <t>number_of_children_aged_24_to_59_dewormed_second_dose</t>
  </si>
  <si>
    <t>NTR_DWR.1.2:Nutrition:Total number of children aged 24 - 59 months dewormed</t>
  </si>
  <si>
    <t>number_of_plw_screened_for_acute_malnutrition</t>
  </si>
  <si>
    <t>PLW_S4AM.1:Nutrition:Total number of PLW screened for acute malnutrition</t>
  </si>
  <si>
    <t>Number_of_slides_or_RDT_positive_for_malaria</t>
  </si>
  <si>
    <t>Mal_Pos.1:CDC:Number of slides or RDT positive for malaria</t>
  </si>
  <si>
    <t>babies_weight_2500</t>
  </si>
  <si>
    <t>NTR_LBW.1:Nutrition:Number of live-born babies with birth weight less than 2,500 g</t>
  </si>
  <si>
    <t>gmp_weighed_wfa_at_0_5_months</t>
  </si>
  <si>
    <t>NTR_GMP.1.1:Nutrition:Age: 0 - 5 Months</t>
  </si>
  <si>
    <t>gmp_weighed_wfa_at_6_23_months</t>
  </si>
  <si>
    <t>NTR_GMP.1.2:Nutrition:Age: 6 - 23 Months</t>
  </si>
  <si>
    <t>moderate_wfa_at_0_5_months</t>
  </si>
  <si>
    <t>GMP_MAM.1.1:Nutrition:Age: 0 - 5 Months</t>
  </si>
  <si>
    <t>moderate_wfa_at_6_23_months</t>
  </si>
  <si>
    <t>GMP_MAM.1.2:Nutrition:Age: 6 -23 Months</t>
  </si>
  <si>
    <t>severe_wfa_at_0_5_months</t>
  </si>
  <si>
    <t>GMP_SAM.1.1:Nutrition:Age: 0 - 5 Months</t>
  </si>
  <si>
    <t>severe_wfa_at_6_23_months</t>
  </si>
  <si>
    <t>GMP_SAM.1.2:Nutrition:Age: 6 - 23 Months</t>
  </si>
  <si>
    <t>malnutrition_screened_at_0_5_months</t>
  </si>
  <si>
    <t>NTR_S4AM.1.1:Nutrition:Age: 0 - 5 Months</t>
  </si>
  <si>
    <t>malnutrition_screened_at_6_59_months</t>
  </si>
  <si>
    <t>NTR_S4AM.1.2:Nutrition:Age: 6 - 59 Months</t>
  </si>
  <si>
    <t>NTR_S4AM_1</t>
  </si>
  <si>
    <t>NTR_S4AM.1:Nutrition:Total Number of children &lt; 5 yr screened for acute malnutrition</t>
  </si>
  <si>
    <t>mam_at_0_5_months</t>
  </si>
  <si>
    <t>S4AM.MAM.1.1:Nutrition:Age: 0 - 5 Months</t>
  </si>
  <si>
    <t>mam_at_6_59_months</t>
  </si>
  <si>
    <t>S4AM.MAM.1.2:Nutrition:Age: 6 - 59 Months</t>
  </si>
  <si>
    <t>sam_at_0_5_months</t>
  </si>
  <si>
    <t>S4AM.SAM.1.1:Nutrition:Age: 0 - 5 Months</t>
  </si>
  <si>
    <t>sam_at_6_59_months</t>
  </si>
  <si>
    <t>S4AM.SAM.1.2:Nutrition:Age: 6 - 59 Months</t>
  </si>
  <si>
    <t>FP_CAR_Mtd_2_7</t>
  </si>
  <si>
    <t>None</t>
  </si>
  <si>
    <t>FP_IPPF_Mtd_5</t>
  </si>
  <si>
    <t>Mal_DX1</t>
  </si>
  <si>
    <t>Mal_DX1:CDC:Total number of slides or RDT performed for malaria diagnosis</t>
  </si>
  <si>
    <t>malnutrition_screened_plw_less_23</t>
  </si>
  <si>
    <t>PLW_S4AM.1.1:Nutrition:MUAC &lt; 23 cm</t>
  </si>
  <si>
    <t>malnutrition_screened_plw_23_or_more</t>
  </si>
  <si>
    <t>PLW_S4AM.1.2:Nutrition:MUAC &gt;= 23cm</t>
  </si>
  <si>
    <t>ANC_IFA_1</t>
  </si>
  <si>
    <t>ANC_IFA.1:Nutrition:Total number of Pregnant women received IFA at least 90 plus $$</t>
  </si>
  <si>
    <t>L_D_SBA_1</t>
  </si>
  <si>
    <t>L&amp;D_SBA.1:Birth Attendants (BA):Total Number of births attended by level IV HEW and nurses at Health post</t>
  </si>
  <si>
    <t>NTR_VAS_2</t>
  </si>
  <si>
    <t>NTR_VAS.2:Nutrition:Total number of children aged 6-59 months who received Vitamin A supplementation dis aggregated by dose</t>
  </si>
  <si>
    <t>number_of_children_aged_24_to_59_dewormed</t>
  </si>
  <si>
    <t>NTR_DWR.1:Nutrition:Total number of children aged 24 to 59 months dewormed</t>
  </si>
  <si>
    <t>NTR_DWR_1_1</t>
  </si>
  <si>
    <t>NTR_DWR.1.1:Nutrition:Total number of children aged 24 - 59 months dewormed: First Dose</t>
  </si>
  <si>
    <t>suspected_lymphedema</t>
  </si>
  <si>
    <t>Lymphedema suspected on Screening @@@ [NTD and NCD Datasource 1 ]</t>
  </si>
  <si>
    <t>refered_suspected_lymphedema</t>
  </si>
  <si>
    <t>Lymphedema suspected on Screening and Referral</t>
  </si>
  <si>
    <t>suspected_trachomatous_trichiasis</t>
  </si>
  <si>
    <t>Trachomatous Trichiasis Suspected on Screening</t>
  </si>
  <si>
    <t>refered_trachomatous_trichiasis</t>
  </si>
  <si>
    <t>Refered Trachomatous Trichiasis Suspected on Screening</t>
  </si>
  <si>
    <t>suspected_Schistosomiasis</t>
  </si>
  <si>
    <t>Schistosomiasis (SCH) Suspected on Screening</t>
  </si>
  <si>
    <t>refered_suspected_Schistosomiasis</t>
  </si>
  <si>
    <t>Refered Schistosomiasis (SCH) Suspected on Screening</t>
  </si>
  <si>
    <t>suspected_Cutaneous_leishmaniasis</t>
  </si>
  <si>
    <t>Cutaneous leishmaniasis Suspected on Screening</t>
  </si>
  <si>
    <t>refered_suspected_Cutaneous_leishmaniasis</t>
  </si>
  <si>
    <t>Refered :Cutaneous leishmaniasis Suspected on Screening</t>
  </si>
  <si>
    <t>suspected_Scabies</t>
  </si>
  <si>
    <t>Scabies suspected on Screening</t>
  </si>
  <si>
    <t>refered_suspected_Scabies</t>
  </si>
  <si>
    <t>Refered :Scabies suspected on Screening</t>
  </si>
  <si>
    <t>suspected_Human_Guinea_Worm</t>
  </si>
  <si>
    <t>Human Guinea Worm Suspected on Screening</t>
  </si>
  <si>
    <t>refered_suspected__Human_Guinea_Worm</t>
  </si>
  <si>
    <t>Refered :Human Guinea Worm Suspected on Screening</t>
  </si>
  <si>
    <t>totNum_swallowed_azithromycin_or_took_tetracycline_eye_ointment</t>
  </si>
  <si>
    <t>Number of people who swallowed azithromycin or took tetracycline eye ointment to prevent trachoma from the expected eligible population</t>
  </si>
  <si>
    <t>ivermectin</t>
  </si>
  <si>
    <t>Number of who swallowed ivermectin to prevent onchocerciasis from the expected eligible population (&gt;=5 Years)</t>
  </si>
  <si>
    <t>lymphatic_filariasis</t>
  </si>
  <si>
    <t>Number of people who swallowed a drug to prevent lymphatic filariasis from the expected eligible population (&gt;=5 Years)</t>
  </si>
  <si>
    <t>prevent_schistosomiasis</t>
  </si>
  <si>
    <t>Number of children who swallowed a drug to prevent schistosomiasis from the expected eligible children (5 to 15 Years)</t>
  </si>
  <si>
    <t>prevent_soil_transmitted_helminthiasis</t>
  </si>
  <si>
    <t>Number of children who swallowed a drug to prevent soil transmitted helminthiasis from the expected eligible children (5 to 19 Years )</t>
  </si>
  <si>
    <t>prevent_schistosomiasis_gt</t>
  </si>
  <si>
    <t>Number of Women who swallowed a drug to prevent soil transmitted helminthiasis from women reproductive age (20-49 Years)</t>
  </si>
  <si>
    <t>sn</t>
  </si>
  <si>
    <t>S.No</t>
  </si>
  <si>
    <t>Activity</t>
  </si>
  <si>
    <t>-</t>
  </si>
  <si>
    <t>RMH</t>
  </si>
  <si>
    <t>sum</t>
  </si>
  <si>
    <t>merged</t>
  </si>
  <si>
    <t>Final Id</t>
  </si>
  <si>
    <t>ordering</t>
  </si>
  <si>
    <t>ucr id</t>
  </si>
  <si>
    <t>total_number_of_live_births_weighed</t>
  </si>
  <si>
    <t>NTR_LBW.2:Nutrition:Total number of live births weighed</t>
  </si>
  <si>
    <t>NTD_TR_1_1</t>
  </si>
  <si>
    <t>Number of individuals swallowed MDA drug for trachoma - &lt; 6 months, Male(NTD_TR.1. 1):NTD</t>
  </si>
  <si>
    <t>NTD_TR_1_2</t>
  </si>
  <si>
    <t>Number of individuals swallowed MDA drug for trachoma - &lt; 6 months, Female(NTD_TR.1. 2):NTD</t>
  </si>
  <si>
    <t>NTD_TR_1_3</t>
  </si>
  <si>
    <t>Number of individuals swallowed MDA drug for trachoma - 6 months-7 years, Male(NTD_TR.1. 3):NTD</t>
  </si>
  <si>
    <t>NTD_TR_1_4</t>
  </si>
  <si>
    <t>Number of individuals swallowed MDA drug for trachoma - 6 months-7 years, Female(NTD_TR.1. 4):NTD</t>
  </si>
  <si>
    <t>NTD_TR_1_5</t>
  </si>
  <si>
    <t>Number of individuals swallowed MDA drug for trachoma - 7 - 14 years, Male(NTD_TR.1. 5):NTD</t>
  </si>
  <si>
    <t>NTD_TR_1_6</t>
  </si>
  <si>
    <t>Number of individuals swallowed MDA drug for trachoma - 7 - 14 years, Female(NTD_TR.1. 6):NTD</t>
  </si>
  <si>
    <t>NTD_TR_1_7</t>
  </si>
  <si>
    <t>Number of individuals swallowed MDA drug for trachoma - &gt;= 15 years, Male(NTD_TR.1. 7):NTD</t>
  </si>
  <si>
    <t>NTD_TR_1_8</t>
  </si>
  <si>
    <t>Number of individuals swallowed MDA drug for trachoma - &gt;= 15 years, Female(NTD_TR.1. 8):NTD</t>
  </si>
  <si>
    <t>NTD_ONCH_1_1</t>
  </si>
  <si>
    <t>Number of individuals swallowed MDA drug for Onchocerciasis - 5 - 14 years, Male(NTD_ONCH.1. 1):NTD</t>
  </si>
  <si>
    <t>NTD_ONCH_1_2</t>
  </si>
  <si>
    <t>Number of individuals swallowed MDA drug for Onchocerciasis - 5 - 14 years, Female(NTD_ONCH.1. 2):NTD</t>
  </si>
  <si>
    <t>NTD_ONCH_1_3</t>
  </si>
  <si>
    <t>Number of individuals swallowed MDA drug for Onchocerciasis - &gt;= 15 years, Male(NTD_ONCH.1. 3):NTD</t>
  </si>
  <si>
    <t>NTD_ONCH_1_4</t>
  </si>
  <si>
    <t>Number of individuals swallowed MDA drug for Onchocerciasis - &gt;= 15 years, Female(NTD_ONCH.1. 4):NTD</t>
  </si>
  <si>
    <t>NTD_LF_1_1</t>
  </si>
  <si>
    <t>Number of individuals swallowed MDA drug for Lymphatic Filariasis - 5 - 14 years, Male(NTD_LF.1. 1):NTD</t>
  </si>
  <si>
    <t>NTD_LF_1_2</t>
  </si>
  <si>
    <t>Number of individuals swallowed MDA drug for Lymphatic Filariasis - 5 - 14 years, Female(NTD_LF.1. 2):NTD</t>
  </si>
  <si>
    <t>NTD_LF_1_3</t>
  </si>
  <si>
    <t>Number of individuals swallowed MDA drug for Lymphatic Filariasis - &gt;= 15 years, Male(NTD_LF.1. 3):NTD</t>
  </si>
  <si>
    <t>NTD_LF_1_4</t>
  </si>
  <si>
    <t>Number of individuals swallowed MDA drug for Lymphatic Filariasis - &gt;= 15 years, Female(NTD_LF.1. 4):NTD</t>
  </si>
  <si>
    <t>NTD_SCH_1_1</t>
  </si>
  <si>
    <t>Number of individuals swallowed MDA drug for Schistosomiasis - 5 - 14 years, Male(NTD_SCH.1. 1):NTD</t>
  </si>
  <si>
    <t>NTD_SCH_1_2</t>
  </si>
  <si>
    <t>Number of individuals swallowed MDA drug for Schistosomiasis - 5 - 14 years, Female(NTD_SCH.1. 2):NTD</t>
  </si>
  <si>
    <t>NTD_SCH_1_3</t>
  </si>
  <si>
    <t>Number of individuals swallowed MDA drug for Schistosomiasis - &gt;= 15 years, Male(NTD_SCH.1. 3):NTD</t>
  </si>
  <si>
    <t>NTD_SCH_1_4</t>
  </si>
  <si>
    <t>Number of individuals swallowed MDA drug for Schistosomiasis - &gt;= 15 years, Female(NTD_SCH.1. 4):NTD</t>
  </si>
  <si>
    <t>NTD_STH_1_1</t>
  </si>
  <si>
    <t>Number of individuals swallowed MDA drug for Soil transmitting helminthes (STH) - 5 - 14 years, Male(NTD_STH.1. 1):NTD</t>
  </si>
  <si>
    <t>NTD_STH_1_2</t>
  </si>
  <si>
    <t>Number of individuals swallowed MDA drug for Soil transmitting helminthes (STH) - 5 - 14 years, Female(NTD_STH.1. 2):NTD</t>
  </si>
  <si>
    <t>NTD_STH_1_3</t>
  </si>
  <si>
    <t>Number of individuals swallowed MDA drug for Soil transmitting helminthes (STH) - 15 - 19 years, Male(NTD_STH.1. 3):NTD</t>
  </si>
  <si>
    <t>NTD_STH_1_4</t>
  </si>
  <si>
    <t>Number of individuals swallowed MDA drug for Soil transmitting helminthes (STH) - 15 - 19 years, Female(NTD_STH.1. 4):NTD</t>
  </si>
  <si>
    <t>NTD_STH_1_5</t>
  </si>
  <si>
    <t>Number of individuals swallowed MDA drug for Soil transmitting helminthes (STH) - &gt;= 20 years, Male(NTD_STH.1. 5):NTD</t>
  </si>
  <si>
    <t>NTD_STH_1_6</t>
  </si>
  <si>
    <t>Number of individuals swallowed MDA drug for Soil transmitting helminthes (STH) - &gt;= 20 years, Female(NTD_STH.1. 6):NTD</t>
  </si>
  <si>
    <t>NCT_HTN_1</t>
  </si>
  <si>
    <t>Number of Individuals screened for hypertension - 18 - 29 years, Male(NCT_HTN. 1):NCD</t>
  </si>
  <si>
    <t>NCT_HTN_2</t>
  </si>
  <si>
    <t>Number of Individuals screened for hypertension - 18 - 29 years, Female(NCT_HTN. 2):NCD</t>
  </si>
  <si>
    <t>NCT_HTN_3</t>
  </si>
  <si>
    <t>Number of Individuals screened for hypertension - 30 - 39 years, Male(NCT_HTN. 3):NCD</t>
  </si>
  <si>
    <t>NCT_HTN_4</t>
  </si>
  <si>
    <t>Number of Individuals screened for hypertension - 30 - 39 years, Female(NCT_HTN. 4):NCD</t>
  </si>
  <si>
    <t>NCT_HTN_5</t>
  </si>
  <si>
    <t>Number of Individuals screened for hypertension - 40 - 69 years, Male(NCT_HTN. 5):NCD</t>
  </si>
  <si>
    <t>NCT_HTN_6</t>
  </si>
  <si>
    <t>Number of Individuals screened for hypertension - 40 - 69 years, Female(NCT_HTN. 6):NCD</t>
  </si>
  <si>
    <t>NCT_HTN_7</t>
  </si>
  <si>
    <t>Number of Individuals screened for hypertension - &gt;=70 years, Male(NCT_HTN. 7):NCD</t>
  </si>
  <si>
    <t>NCT_HTN_8</t>
  </si>
  <si>
    <t>Number of Individuals screened for hypertension - &gt;=70 years, Female(NCT_HTN. 8):NCD</t>
  </si>
  <si>
    <t>NCD_HTNDX_1_2_1</t>
  </si>
  <si>
    <t>Number of Individuals screened for hypertension by result of screening - Raised BP(NCD_HTNDX.1.2. 1):NCD</t>
  </si>
  <si>
    <t>NCD_HTNDX_1_2_2</t>
  </si>
  <si>
    <t>Number of Individuals screened for hypertension by result of screening - Normal BP(NCD_HTNDX.1.2. 2):NCD</t>
  </si>
  <si>
    <t>NCD_HTNDX_1_2_3</t>
  </si>
  <si>
    <t>Number of Individuals screened for hypertension by result of screening - Hypertensive patients refered to Health Center for further investigation(NCD_HTNDX.1.2. 3):NCD</t>
  </si>
  <si>
    <t>NCD_DMDX_1_2_1</t>
  </si>
  <si>
    <t>Individuals screened for Diabetes Mellitus by age and sex - &lt; 40 years, Male(NCD_DMDX.1.2. 1):NCD</t>
  </si>
  <si>
    <t>NCD_DMDX_1_2_2</t>
  </si>
  <si>
    <t>Individuals screened for Diabetes Mellitus by age and sex - &lt; 40 years, Female(NCD_DMDX.1.2. 2):NCD</t>
  </si>
  <si>
    <t>NCD_DMDX_1_2_3</t>
  </si>
  <si>
    <t>Individuals screened for Diabetes Mellitus by age and sex - &gt;= 40 years, Male(NCD_DMDX.1.2. 3):NCD</t>
  </si>
  <si>
    <t>NCD_DMDX_1_2_4</t>
  </si>
  <si>
    <t>Individuals screened for Diabetes Mellitus by age and sex - &gt;= 40 years, Female(NCD_DMDX.1.2. 4):NCD</t>
  </si>
  <si>
    <t>confirmed_malaria_cases_ftat</t>
  </si>
  <si>
    <t>Total number of malaria case (or infection) in which the parasite has been detected in a diagnostic test, i.e. microscopy, a rapid diagnostic test or a molecular diagnostic test @@@[Malaria Datasource v2]</t>
  </si>
  <si>
    <t>confirmed_malaria_cases_hp</t>
  </si>
  <si>
    <t>Number of malaria case (or infection) in which the parasite has been detected in a diagnostic test within the jurisdiction of the health post</t>
  </si>
  <si>
    <t>households_investigated</t>
  </si>
  <si>
    <t>Number of index case households and those demarcated from the index case house within 70m radius or nearest five households where houses densely clustered and visited</t>
  </si>
  <si>
    <t>entitled_for_finger_prick</t>
  </si>
  <si>
    <t>Number of individuals listed in the investigated index case and neighboring households and entitled for finger prick except index cases, &lt; 6 months infants, and sever malaria cases</t>
  </si>
  <si>
    <t>received_finger_prick</t>
  </si>
  <si>
    <t>Number of individuals listed in the investigated index case and neighboring households whom received finger prick</t>
  </si>
  <si>
    <t>confirmed_malaria_cases</t>
  </si>
  <si>
    <t>Number of confirmed malaria cases/infections reported during case investigation</t>
  </si>
  <si>
    <t>confirmed_malaria_cases_plasmodium_falciparium</t>
  </si>
  <si>
    <t>Number of confirmed malaria cases/infections reported as plasmodium falciparium during case investigation</t>
  </si>
  <si>
    <t>confirmed_malaria_cases_plasmodium_vivax</t>
  </si>
  <si>
    <t>Number of confirmed malaria cases/infections reported as plasmodium vivax during case investigation</t>
  </si>
  <si>
    <t>confirmed_malaria_cases_mixed</t>
  </si>
  <si>
    <t>Number of confirmed malaria cases/infections reported as mixed (pf/pv) during case investigation</t>
  </si>
  <si>
    <t>Cases_with_travel_history</t>
  </si>
  <si>
    <t>Confirmed malaria case or infection in which the infection was acquired outside the area in s/he lives</t>
  </si>
  <si>
    <t>Cases_without_travel_history</t>
  </si>
  <si>
    <t>Confirmed malaria case or infection contracted locally with no evidence of importation</t>
  </si>
  <si>
    <t>Number_of_households_sprayed</t>
  </si>
  <si>
    <t>Number of households sprayed</t>
  </si>
  <si>
    <t>number_people_protected_by_chemical_spray</t>
  </si>
  <si>
    <t>Number of people protected because of chemical spray</t>
  </si>
  <si>
    <t>chemical_used_in_kg</t>
  </si>
  <si>
    <t>Amount of chemical used in kg</t>
  </si>
  <si>
    <t>bednet_usage</t>
  </si>
  <si>
    <t>Number of visited households on bednet usage</t>
  </si>
  <si>
    <t>llitn_properly_used</t>
  </si>
  <si>
    <t>Number of visited households who have properly used their bednet</t>
  </si>
  <si>
    <t>suspected_and_tested_with_rdt</t>
  </si>
  <si>
    <t>Number of clients suspected for malaria, and tested with RDT</t>
  </si>
  <si>
    <t>Total_Malaria_Cases_Confirmed_RDT</t>
  </si>
  <si>
    <t>Total Malaria Cases Confirmed by RDT</t>
  </si>
  <si>
    <t>RDT_Confirmed_Malaria_Cases_pf</t>
  </si>
  <si>
    <t>RDT Confirmed Malaria Cases by Plasmodium Species- P. Falciparum</t>
  </si>
  <si>
    <t>RDT_Confirmed_Malaria_Cases_pv</t>
  </si>
  <si>
    <t>RDT Confirmed Malaria Cases by Plasmodium Species- P. Vivax</t>
  </si>
  <si>
    <t>Malaria_Cases_under_5</t>
  </si>
  <si>
    <t>Total Malaria Cases by Age Category- Under 5 years</t>
  </si>
  <si>
    <t>Malaria_Cases_5_to_14</t>
  </si>
  <si>
    <t>Total Malaria Cases by Age Category- From 5 to 14 years</t>
  </si>
  <si>
    <t>Malaria_Cases_over_15</t>
  </si>
  <si>
    <t>Total Malaria Cases by Age Category- over 15 years</t>
  </si>
  <si>
    <t>positive_Pregant_mothers</t>
  </si>
  <si>
    <t>Pregant mothers with positive malaria cases</t>
  </si>
  <si>
    <t>RDT_positive_for_malaria</t>
  </si>
  <si>
    <t>Mal_Pos.1:Number of slides or RDT positive for malaria</t>
  </si>
  <si>
    <t>RDT_positive_for_malaria_male_under_5</t>
  </si>
  <si>
    <t>Mal_Pos.1.1:Number of slides or RDT positive for malaria&lt; 5 yr : Male</t>
  </si>
  <si>
    <t>RDT_positive_for_malaria_female_under_5</t>
  </si>
  <si>
    <t>Mal_Pos.1.2:Number of slides or RDT positive for malaria&lt; 5 yr : FeMale</t>
  </si>
  <si>
    <t>RDT_positive_for_malaria_male_over_5_under_14</t>
  </si>
  <si>
    <t>Mal_Pos.1.3:Number of slides or RDT positive for malaria &gt; 5 yr and &lt; 14 yr : Male</t>
  </si>
  <si>
    <t>RDT_positive_for_malaria_female_over_5_under_14</t>
  </si>
  <si>
    <t>Mal_Pos.1.4:Number of slides or RDT positive for malaria &gt; 5 yr and &lt; 14 yr : FeMale</t>
  </si>
  <si>
    <t>RDT_positive_for_malaria_male_over_15</t>
  </si>
  <si>
    <t>Mal_Pos.1.5:Number of slides or RDT positive for malaria &gt; 15 yr : Male</t>
  </si>
  <si>
    <t>RDT_positive_for_malaria_female_over_15</t>
  </si>
  <si>
    <t>Mal_Pos.1.6:Number of slides or RDT positive for malaria &gt; 15 yr : FeMale</t>
  </si>
  <si>
    <t>rdt_performed_for_malaria_diagnosis</t>
  </si>
  <si>
    <t>Mal_DX : Total number of slides or RDT performed for malaria diagnosis</t>
  </si>
  <si>
    <t>malaria_positive_clients</t>
  </si>
  <si>
    <t>Number of malaria positive clients disaggregated by age</t>
  </si>
  <si>
    <t>malaria_positive_clients_under_1</t>
  </si>
  <si>
    <t>Number of malaria positive clients disaggregated by age &lt; 1</t>
  </si>
  <si>
    <t>malaria_positive_clients_under_1_new</t>
  </si>
  <si>
    <t>Number of malaria positive clients disaggregated by age &lt; 1 - New</t>
  </si>
  <si>
    <t>malaria_positive_clients_under_1_repeat</t>
  </si>
  <si>
    <t>Number of malaria positive clients disaggregated by age &lt; 1 - Repeat</t>
  </si>
  <si>
    <t>malaria_positive_clients_over_1_under_4</t>
  </si>
  <si>
    <t>Number of malaria positive clients disaggregated by age over 1 under 4</t>
  </si>
  <si>
    <t>malaria_positive_clients_over_1_under_4_new</t>
  </si>
  <si>
    <t>Number of malaria positive clients disaggregated by age over 1 under 4-New</t>
  </si>
  <si>
    <t>malaria_positive_clients_over_1_under_4_repeat</t>
  </si>
  <si>
    <t>Number of malaria positive clients disaggregated by age over 1 under 4-Repeat</t>
  </si>
  <si>
    <t>malaria_positive_clients_over_5_under_14</t>
  </si>
  <si>
    <t>Number of malaria positive clients disaggregated by age over 5 under 14</t>
  </si>
  <si>
    <t>malaria_positive_clients_over_5_under_14_new</t>
  </si>
  <si>
    <t>Number of malaria positive clients disaggregated by age over 5 under 14-New</t>
  </si>
  <si>
    <t>malaria_positive_clients_over_5_under_14_repeat</t>
  </si>
  <si>
    <t>Number of malaria positive clients disaggregated by age over 5 under 14-Repeat</t>
  </si>
  <si>
    <t>malaria_positive_clients_over_15</t>
  </si>
  <si>
    <t>Number of malaria positive clients disaggregated by age over 15</t>
  </si>
  <si>
    <t>malaria_positive_clients_over_15_new</t>
  </si>
  <si>
    <t>Number of malaria positive clients disaggregated by age over 15-New</t>
  </si>
  <si>
    <t>malaria_positive_clients_over_15_repeat</t>
  </si>
  <si>
    <t>Number of malaria positive clients disaggregated by age over 15-Repeat</t>
  </si>
  <si>
    <t>hp_positive_malaria_pregnant_women</t>
  </si>
  <si>
    <t>Number of pregnant women with positive malaria case (HP Level)</t>
  </si>
  <si>
    <t>malaria_suspect_but_not_tested</t>
  </si>
  <si>
    <t>Number of clients suspected for malaria, but not tested</t>
  </si>
  <si>
    <t>malaria_suspect_tested</t>
  </si>
  <si>
    <t>Number of clients tested for malaria</t>
  </si>
  <si>
    <t>breeding_site</t>
  </si>
  <si>
    <t>Number of breeding sites</t>
  </si>
  <si>
    <t>breeding_site_permanent</t>
  </si>
  <si>
    <t>Number of breeding sites- Permanent</t>
  </si>
  <si>
    <t>breeding_site_temporary</t>
  </si>
  <si>
    <t>Number of breeding sites- Temporary</t>
  </si>
  <si>
    <t>larva_control</t>
  </si>
  <si>
    <t>Draining Activity-larva_control</t>
  </si>
  <si>
    <t>larva_control_in_sq_km</t>
  </si>
  <si>
    <t>Draining Activity- Area in sq.m</t>
  </si>
  <si>
    <t>larva_control_Number_of_times</t>
  </si>
  <si>
    <t>Draining Activity-Number of times</t>
  </si>
  <si>
    <t>compacting_activity</t>
  </si>
  <si>
    <t>Compacting Activity- Number of Locations</t>
  </si>
  <si>
    <t>compacting_activity_in_sq_km</t>
  </si>
  <si>
    <t>compacting_activity_Number_of_times</t>
  </si>
  <si>
    <t>Compacting Activity-Number of times</t>
  </si>
  <si>
    <t>clearing_activity</t>
  </si>
  <si>
    <t>Clearing Activity- Number of Locations</t>
  </si>
  <si>
    <t>clearing_activity_in_sq_km</t>
  </si>
  <si>
    <t>Clearing Activity- Area in sq.m</t>
  </si>
  <si>
    <t>clearing_activity_Number_of_times</t>
  </si>
  <si>
    <t>Clearing Activity-Number of times</t>
  </si>
  <si>
    <t>filling_activity</t>
  </si>
  <si>
    <t>Filling Activity- Number of Locations</t>
  </si>
  <si>
    <t>filling_activity_in_sq_km</t>
  </si>
  <si>
    <t>Filling Activity- Area in sq.m</t>
  </si>
  <si>
    <t>filling_activity_Number_of_times</t>
  </si>
  <si>
    <t>Filling Activity-Number of times</t>
  </si>
  <si>
    <t>households_who_own_bednets</t>
  </si>
  <si>
    <t>Bednet Usage-Number of households who own bednets and use them properly</t>
  </si>
  <si>
    <t>households_who_own_but_not_use</t>
  </si>
  <si>
    <t>Bednet Usage-Number of households who own bednets and do not use them</t>
  </si>
  <si>
    <t>households_with_no_bednets</t>
  </si>
  <si>
    <t>Bednet Usage-Number of households who do not own bednets</t>
  </si>
  <si>
    <t>peoples_involved_in_prevention</t>
  </si>
  <si>
    <t>Number of people involved in prevention (larva control activities)</t>
  </si>
  <si>
    <t>males_involved_in_prevention</t>
  </si>
  <si>
    <t>MALE-Number of people involved in prevention (larva control activities)</t>
  </si>
  <si>
    <t>females_involved_in_prevention</t>
  </si>
  <si>
    <t>FEMALE-Number involved in prevention (larva control activities)</t>
  </si>
  <si>
    <t>organizations_involved_in_prevention</t>
  </si>
  <si>
    <t>Organizations involved in prevention (larva control activities)</t>
  </si>
  <si>
    <t>people_who_took_behav_change_comm_training</t>
  </si>
  <si>
    <t>Number of people who took Behavioural Change Communication Training</t>
  </si>
  <si>
    <t>male_who_took_behav_change_comm_training</t>
  </si>
  <si>
    <t>Number of Males who took Behavioural Change Communication Training</t>
  </si>
  <si>
    <t>female_who_took_behav_change_comm_training</t>
  </si>
  <si>
    <t>Number of FeMales who took Behavioural Change Communication Training</t>
  </si>
  <si>
    <t>organizations_who_took_behav_change_comm_training</t>
  </si>
  <si>
    <t>Number of Organizations who took Behavioural Change Communication Training</t>
  </si>
  <si>
    <t>households_eligible_delineated_for_investigation</t>
  </si>
  <si>
    <t>Number of index households and those demarcated from the index case house within 70m radius or nearest five households where houses densely clustered.</t>
  </si>
  <si>
    <t>individuals_living_in_index_case</t>
  </si>
  <si>
    <t>Number of individuals living in the index case and neighboring households including visitors listed during case investigated</t>
  </si>
  <si>
    <t>MAL_1</t>
  </si>
  <si>
    <t>Total number of slides or RDT performed for malaria diagnosis - &lt; 5 years, Male(MAL. 1):Malaria</t>
  </si>
  <si>
    <t>MAL_2</t>
  </si>
  <si>
    <t>Total number of slides or RDT performed for malaria diagnosis - &lt; 5 years, Female(MAL. 2):Malaria</t>
  </si>
  <si>
    <t>MAL_3</t>
  </si>
  <si>
    <t>Total number of slides or RDT performed for malaria diagnosis - 5 - 14 years, Male(MAL. 3):Malaria</t>
  </si>
  <si>
    <t>MAL_4</t>
  </si>
  <si>
    <t>Total number of slides or RDT performed for malaria diagnosis - 5 - 14 years, Female(MAL. 4):Malaria</t>
  </si>
  <si>
    <t>MAL_5</t>
  </si>
  <si>
    <t>Total number of slides or RDT performed for malaria diagnosis - &gt;= 15 years, Male(MAL. 5):Malaria</t>
  </si>
  <si>
    <t>MAL_6</t>
  </si>
  <si>
    <t>Total number of slides or RDT performed for malaria diagnosis - &gt;= 15 years, Female(MAL. 6):Malaria</t>
  </si>
  <si>
    <t>MAL_POS_1_1</t>
  </si>
  <si>
    <t>Total number of slides or RDT Positive - &lt; 5 years, Male(MAL_POS.1. 1):Malaria</t>
  </si>
  <si>
    <t>MAL_POS_1_2</t>
  </si>
  <si>
    <t>Total number of slides or RDT Positive - &lt; 5 years, Female(MAL_POS.1. 2):Malaria</t>
  </si>
  <si>
    <t>MAL_POS_1_3</t>
  </si>
  <si>
    <t>Total number of slides or RDT Positive - 5 - 14 years, Male(MAL_POS.1. 3):Malaria</t>
  </si>
  <si>
    <t>MAL_POS_1_4</t>
  </si>
  <si>
    <t>Total number of slides or RDT Positive - 5 - 14 years, Female(MAL_POS.1. 4):Malaria</t>
  </si>
  <si>
    <t>MAL_POS_1_5</t>
  </si>
  <si>
    <t>Total number of slides or RDT Positive - &gt;= 15 years, Male(MAL_POS.1. 5):Malaria</t>
  </si>
  <si>
    <t>MAL_POS_1_6</t>
  </si>
  <si>
    <t>Total number of slides or RDT Positive - &gt;= 15 years, Female(MAL_POS.1. 6):Malaria</t>
  </si>
  <si>
    <t>Mal_Travel_</t>
  </si>
  <si>
    <t>Total number of slides or RDT Positive - Malaria with Travel History(Mal_Travel.):Malaria</t>
  </si>
  <si>
    <t>FP_CYP_1</t>
  </si>
  <si>
    <t>FP_CYP.1:Male Condom (number of condoms distributed) @@@[Annual Service Delivery DS V1]</t>
  </si>
  <si>
    <t>FP_CYP_3</t>
  </si>
  <si>
    <t>FP_CYP.3:Oral contraceptives (number of monthly cycles distributed)</t>
  </si>
  <si>
    <t>FP_CYP_5</t>
  </si>
  <si>
    <t>FP_CYP.5:Injectable (Depo provera) (number of injections)</t>
  </si>
  <si>
    <t>FP_CYP_8</t>
  </si>
  <si>
    <t>FP_CYP.8:Implanon (number of Implanon insertions)</t>
  </si>
  <si>
    <t>FP_CYP_9</t>
  </si>
  <si>
    <t>FP_CYP.9:Jadelle (number of Jadelle insertions)</t>
  </si>
  <si>
    <t>FP_CYP_10</t>
  </si>
  <si>
    <t>FP_CYP.10:IUCD (number of IUCDs inserted)</t>
  </si>
  <si>
    <t>Mal_LLITN_1</t>
  </si>
  <si>
    <t>Mal_LLITN.1:Number of targeted HH received at least one LLITN in the last 12 month</t>
  </si>
  <si>
    <t>Mal_ELLITN_1</t>
  </si>
  <si>
    <t>Mal_ELLITN.1:Number of HHs that need LLITN in the last 12 month</t>
  </si>
  <si>
    <t>total_confirmed_malaria_cases</t>
  </si>
  <si>
    <t>Total confirmed malaria cases @@@[FTAT Weekly Report]</t>
  </si>
  <si>
    <t>number_of_confirmed_malaria_cases_within_hp_catchment</t>
  </si>
  <si>
    <t>Number of confirmed malaria cases within HP catchment</t>
  </si>
  <si>
    <t>number_of_confirmed_malaria_cases_outside_hp_catchment</t>
  </si>
  <si>
    <t>Number of confirmed malaria cases outside HP catchment</t>
  </si>
  <si>
    <t>number_of_index_cases_eligible_for_investigation</t>
  </si>
  <si>
    <t>Number of index cases eligible for investigation</t>
  </si>
  <si>
    <t>number_of_index_cases_investigated</t>
  </si>
  <si>
    <t>Number of index cases investigated</t>
  </si>
  <si>
    <t>Number_of_households_eligible_delineated_for_investigation</t>
  </si>
  <si>
    <t>Number of households eligible (delineated) for investigation</t>
  </si>
  <si>
    <t>hh_members_eligible_butnot_indexcases</t>
  </si>
  <si>
    <t>Number of household members eligible for investigation (other than index cases, &lt;6 months infants, severe cases)</t>
  </si>
  <si>
    <t>number_of_household_members_tested</t>
  </si>
  <si>
    <t>Number of household members tested</t>
  </si>
  <si>
    <t>number_of_households_investigated</t>
  </si>
  <si>
    <t>Number of households investigated</t>
  </si>
  <si>
    <t>total_number_of_positive_cases_secondary</t>
  </si>
  <si>
    <t>Total number of positive cases (secondary)</t>
  </si>
  <si>
    <t>total_number_of_pf_cases</t>
  </si>
  <si>
    <t>Total number of PF cases</t>
  </si>
  <si>
    <t>total_number_of_pv_cases</t>
  </si>
  <si>
    <t>Total number of PV cases</t>
  </si>
  <si>
    <t>total_number_of_Mixed_cases</t>
  </si>
  <si>
    <t>Total number of Mixed cases</t>
  </si>
  <si>
    <t>imported_cases__cases_with_travel_history</t>
  </si>
  <si>
    <t>Imported cases (Cases with travel history)</t>
  </si>
  <si>
    <t>indigenous_or_local_cases_cases_without_travel_history</t>
  </si>
  <si>
    <t>Indigenous or local cases (Cases without travel history)</t>
  </si>
  <si>
    <t>suspected_trachomatous_trichiasis_referral</t>
  </si>
  <si>
    <t>NTD pos2.1:Trachomatous Trichiasis Suspected on Screening and Referral @@@ [NTD monthly report datasource ]</t>
  </si>
  <si>
    <t>suspected_schistosomiasis</t>
  </si>
  <si>
    <t>NTD pos3:Schistosomiasis (SCH) Suspected on Screening</t>
  </si>
  <si>
    <t>suspected_schistosomiasis_referral</t>
  </si>
  <si>
    <t>NTD pos3.1:Schistosomiasis (SCH) Suspected on Screening and Referral</t>
  </si>
  <si>
    <t>suspected_tcutaneous_leishmaniasis</t>
  </si>
  <si>
    <t>NTD pos4:Cutaneous leishmaniasis Suspected on Screening</t>
  </si>
  <si>
    <t>suspected_tcutaneous_leishmaniasis_referral</t>
  </si>
  <si>
    <t>NTD pos4.1:Cutaneous leishmaniasis Suspected on Screening and referral</t>
  </si>
  <si>
    <t>suspected_scabies</t>
  </si>
  <si>
    <t>NTD pos5:Scabies suspected on Screening</t>
  </si>
  <si>
    <t>suspected_scabies_referral</t>
  </si>
  <si>
    <t>NTD pos5.1:Scabies suspected on Screening and referral</t>
  </si>
  <si>
    <t>suspected_guinea_worm</t>
  </si>
  <si>
    <t>NTD pos6:Human Guinea Worm Suspected on Screening</t>
  </si>
  <si>
    <t>suspected_guinea_worm_referral</t>
  </si>
  <si>
    <t>NTD pos6.1:Human Guinea Worm Suspected on Screening and Referral</t>
  </si>
  <si>
    <t>num_tt_medication</t>
  </si>
  <si>
    <t>NTD pos7:Number of people who swallowed azithromycin or took tetracycline eye ointment to prevent trachoma from the expected eligible population</t>
  </si>
  <si>
    <t>num_oncho_medication</t>
  </si>
  <si>
    <t>NTD pos8:Number of who swallowed ivermectin to prevent onchocerciasis from the expected eligible population (&gt;=5 Years)</t>
  </si>
  <si>
    <t>num_lf_medication</t>
  </si>
  <si>
    <t>NTD pos9:Number of people who swallowed a drug to prevent lymphatic filariasis from the expected eligible population (&gt;=5 Years)</t>
  </si>
  <si>
    <t>num_sch_medication</t>
  </si>
  <si>
    <t>NTD pos10:Number of children who swallowed a drug to prevent schistosomiasis from the expected eligible children (5 to 15 Years)</t>
  </si>
  <si>
    <t>num_sth_medication_child</t>
  </si>
  <si>
    <t>NTD pos11:Number of children who swallowed a drug to prevent soil transmitted helminthiasis from the expected eligible children (5 to 19 Years )</t>
  </si>
  <si>
    <t>num_sth_medication_adult</t>
  </si>
  <si>
    <t>NTD pos12:Number of Women who swallowed a drug to prevent soil transmitted helminthiasis from women reproductive age (20-49 Years) @@@ [Nutrition Report Data Source]</t>
  </si>
  <si>
    <t>NTR_LBW_1_</t>
  </si>
  <si>
    <t>Number of live-born babies with birth weight less than 2500 gm (NTR_LBW_1.)</t>
  </si>
  <si>
    <t>NTR_LBW_2_</t>
  </si>
  <si>
    <t>Total number of live births weighed (NTR_LBW_2.)</t>
  </si>
  <si>
    <t>NTR_GMP_1</t>
  </si>
  <si>
    <t>Number of children 0 - 5 months weighted during GMP session- (NTR_GMP. 1)</t>
  </si>
  <si>
    <t>NTR_GMP_2</t>
  </si>
  <si>
    <t>Number of children 6 - 23 months weighted during GMP session- (NTR_GMP. 2)</t>
  </si>
  <si>
    <t>NTR_GMP_MM_1</t>
  </si>
  <si>
    <t>Number of children 0 - 5 months weighted during GMP session- (NTR_GMP_MM. 1)</t>
  </si>
  <si>
    <t>NTR_GMP_MM_2</t>
  </si>
  <si>
    <t>Number of children 6 - 23 months weighted during GMP session- (NTR_GMP_MM. 2)</t>
  </si>
  <si>
    <t>GMP_SM_1</t>
  </si>
  <si>
    <t>Number of weights recorded with severe malnutrition by age ( Z score below -3): Severely underweight- 0 - 5 months(GMP_SM. 1)</t>
  </si>
  <si>
    <t>GMP_SM_2</t>
  </si>
  <si>
    <t>Number of weights recorded with severe malnutrition by age ( Z score below -3): Severely underweight- 6 - 23 months(GMP_SM. 2)</t>
  </si>
  <si>
    <t>NUT_VITA_1_1</t>
  </si>
  <si>
    <t>Children aged 6 to 11 months who received vitamin A supplementation- (NUT_VITA.1.1)</t>
  </si>
  <si>
    <t>NUT_VITA_1_2</t>
  </si>
  <si>
    <t>Children Age: 12 to 59 Months who received vitamin A supplementation- (NUT_VITA.1.2)</t>
  </si>
  <si>
    <t>NUT_VITA_2_1</t>
  </si>
  <si>
    <t>Total number of children aged 6-59 months who received Vitamin A supplementation dis aggregated by dose- :First dose(NUT_VITA.2.1)</t>
  </si>
  <si>
    <t>NUT_VITA_2_2</t>
  </si>
  <si>
    <t>Total number of children aged 6-59 months who received Vitamin A supplementation dis aggregated by dose- :Second dose(NUT_VITA.2.2)</t>
  </si>
  <si>
    <t>NUT_DeW_1_1</t>
  </si>
  <si>
    <t>Children 24-59 month who received deworming- :First dose(NUT_DeW.1.1)</t>
  </si>
  <si>
    <t>NUT_DeW_1_2</t>
  </si>
  <si>
    <t>Children 24-59 month who received deworming- :Second dose(NUT_DeW.1.2)</t>
  </si>
  <si>
    <t>NUT_DeW_2</t>
  </si>
  <si>
    <t>Number of pregnant women De-wormed(NUT_DeW.2)</t>
  </si>
  <si>
    <t>NUT_IFA_1_1</t>
  </si>
  <si>
    <t>10-14 yr Pregnant women received IFA at least 90 plus- (NUT_IFA.1.1)</t>
  </si>
  <si>
    <t>NUT_IFA_1_2</t>
  </si>
  <si>
    <t>15-19 yr Pregnant women received IFA at least 90 plus- (NUT_IFA.1.2)</t>
  </si>
  <si>
    <t>NUT_IFA_1_3</t>
  </si>
  <si>
    <t>Greater than 20 yr Pregnant women received IFA at least 90 plus- (NUT_IFA.1.3)</t>
  </si>
  <si>
    <t>PLW_S4AM</t>
  </si>
  <si>
    <t>Total number of PLW screened for acute malnutrition(PLW_S4AM)</t>
  </si>
  <si>
    <t>PLW_S4AM_1</t>
  </si>
  <si>
    <t>Total number of PLW screened for acute malnutrition where MUAC is less than 23 cm(PLW_S4AM. 1)</t>
  </si>
  <si>
    <t>PLW_S4AM_2</t>
  </si>
  <si>
    <t>Total number of PLW screened for acute malnutrition where MUAC greater than or equal to 23 cm(PLW_S4AM. 2)</t>
  </si>
  <si>
    <t>NUT_PreSMN_2_1</t>
  </si>
  <si>
    <t>Total number of Pregnant PLW screened for acute malnutrition By maternal status: (NUT_PreSMN.2.1)</t>
  </si>
  <si>
    <t>NUT_PreSMN_2_2</t>
  </si>
  <si>
    <t>Total number of lactating PLW screened for acute malnutrition By maternal status:(NUT_PreSMN.2.2)</t>
  </si>
  <si>
    <t>NUT_U5SMN_1_1</t>
  </si>
  <si>
    <t>Total number of children 0 - 5 months screened for acute malnutrition- (NUT_U5SMN.1.1)</t>
  </si>
  <si>
    <t>NUT_U5SMN_1_2</t>
  </si>
  <si>
    <t>Total number of children &lt;5yrs screened for acute malnutrition- 6 - 23 months(NUT_U5SMN.1.2)</t>
  </si>
  <si>
    <t>NUT_U5SMN_1_3</t>
  </si>
  <si>
    <t>Total number of children 24 - 59 months screened for acute malnutrition- (NUT_U5SMN.1.3)</t>
  </si>
  <si>
    <t>NUT_U5SMN_MAM_1_1</t>
  </si>
  <si>
    <t>Number of children 0 - 5 months year screened and have moderate acute malnutrition- (NUT_U5SMN.MAM.1.1)</t>
  </si>
  <si>
    <t>NUT_U5SMN_MAM_1_2</t>
  </si>
  <si>
    <t>Number of children 6 - 23 months screened and have moderate acute malnutrition- (NUT_U5SMN.MAM.1.2)</t>
  </si>
  <si>
    <t>NUT_U5SMN_MAM_1_3</t>
  </si>
  <si>
    <t>Number of children &lt;5 year screened and have moderate acute malnutrition- 24 - 59 months(NUT_U5SMN.MAM.1.3)</t>
  </si>
  <si>
    <t>NUT_U5SMN_SAM_1_1</t>
  </si>
  <si>
    <t>Number of children 0 - 5 months screened and have severe acute malnutrition- (NUT_U5SMN.SAM.1.1)</t>
  </si>
  <si>
    <t>NUT_U5SMN_SAM_1_2</t>
  </si>
  <si>
    <t>Number of children 6 - 23 months screened and have severe acute malnutrition- (NUT_U5SMN.SAM.1.2)</t>
  </si>
  <si>
    <t>NUT_U5SMN_SAM_1_3</t>
  </si>
  <si>
    <t>Number of children 24 - 59 months year screened and have severe acute malnutrition- (NUT_U5SMN.SAM.1.3)</t>
  </si>
  <si>
    <t>NUT_TX-U5MN_SAM_Beging_SC_1_1</t>
  </si>
  <si>
    <t>Total SAM at the beginning of the month for Age: 0 to 5 Months(NUT_TX-U5MN_SAM_Beging_SC_1.1)</t>
  </si>
  <si>
    <t>NUT_TX-U5MN_SAM_Beging_SC_1_2</t>
  </si>
  <si>
    <t>Total SAM at the beginning of the month for Age: 6 - 23 Months(NUT_TX-U5MN_SAM_Beging_SC_1.2)</t>
  </si>
  <si>
    <t>NUT_TX-U5MN_SAM_Beging_SC_1_3</t>
  </si>
  <si>
    <t>Total SAM at the beginning of the month for Age: 24 - 59 Months(NUT_TX-U5MN_SAM_Beging_SC_1.3)</t>
  </si>
  <si>
    <t>NUT_TX-U5MN_SAM__Adt_SC_2_1</t>
  </si>
  <si>
    <t>Total number of children Age: 0 to 5 Months with SAM admitted to SC during the reporting period(new and re-admision)- (NUT_TX-U5MN_SAM__Adt_SC_2.1)</t>
  </si>
  <si>
    <t>NUT_TX-U5MN_SAM__Adt_SC_2_2</t>
  </si>
  <si>
    <t>Total number of children Age: 6 - 23 Months with SAM admitted to SC during the reporting period(new and re-admision)- (NUT_TX-U5MN_SAM__Adt_SC_2.2)</t>
  </si>
  <si>
    <t>NUT_TX-U5MN_SAM__Adt_SC_2_3</t>
  </si>
  <si>
    <t>Total number of children Age: 24 - 59 Months with SAM admitted to SC during the reporting period(new and re-admision)-(NUT_TX-U5MN_SAM__Adt_SC_2.3)</t>
  </si>
  <si>
    <t>NUT_TX-U5MN_SAM_Stab_SC_3_1</t>
  </si>
  <si>
    <t>Number of children Age: 0 to 5 Months stablized- (NUT_TX-U5MN_SAM_Stab_SC_3.1)</t>
  </si>
  <si>
    <t>NUT_TX-U5MN_SAM_Stab_SC_3_2</t>
  </si>
  <si>
    <t>Number of children Age: 6 - 23 Months stablized- (NUT_TX-U5MN_SAM_Stab_SC_3.2)</t>
  </si>
  <si>
    <t>NUT_TX-U5MN_SAM_Stab_SC_3_3</t>
  </si>
  <si>
    <t>Number of children Age: 24 - 59 Months stablized- (NUT_TX-U5MN_SAM_Stab_SC_3.3)</t>
  </si>
  <si>
    <t>NUT_TX-U5MN_SAM_Cur_SC_4_1</t>
  </si>
  <si>
    <t>Number of children Age: 0 to 5 Months cured(NUT_TX-U5MN_SAM_Cur_SC_ 4.1)</t>
  </si>
  <si>
    <t>NUT_TX-U5MN_SAM_Cur_SC_4_2</t>
  </si>
  <si>
    <t>Number of children Age: 6 - 23 Months cured (NUT_TX-U5MN_SAM_Cur_SC_ 4.2)</t>
  </si>
  <si>
    <t>NUT_TX-U5MN_SAM_Cur_SC_4_3</t>
  </si>
  <si>
    <t>Number of children Age: 24 - 59 Months cured (NUT_TX-U5MN_SAM_Cur_SC_ 4.3)</t>
  </si>
  <si>
    <t>NUT_TX-U5MN_SAM_died_SC_5_1</t>
  </si>
  <si>
    <t>Number of children Age: 0 to 5 Months died- (NUT_TX-U5MN_SAM_died_SC_5.1)</t>
  </si>
  <si>
    <t>NUT_TX-U5MN_SAM_died_SC_5_2</t>
  </si>
  <si>
    <t>Number of children Age: 6 - 23 Months died- (NUT_TX-U5MN_SAM_died_SC_5.2)</t>
  </si>
  <si>
    <t>NUT_TX-U5MN_SAM_died_SC_5_3</t>
  </si>
  <si>
    <t>Number of children Age: 24 - 59 Months died- (NUT_TX-U5MN_SAM_died_SC_5.3)</t>
  </si>
  <si>
    <t>NUT_TX-U5MN_SAM_TO_SC_6_1</t>
  </si>
  <si>
    <t>Number of children Age: 0 to 5 Months transferred out- (NUT_TX-U5MN_SAM_TO_SC_6.1)</t>
  </si>
  <si>
    <t>NUT_TX-U5MN_SAM_TO_SC_6_2</t>
  </si>
  <si>
    <t>Number of children Age: 6 - 23 Months transferred out- (NUT_TX-U5MN_SAM_TO_SC_6.2)</t>
  </si>
  <si>
    <t>NUT_TX-U5MN_SAM_TO_SC_6_3</t>
  </si>
  <si>
    <t>Number of children Age: 24 - 59 Months transferred out- (NUT_TX-U5MN_SAM_TO_SC_6.3)</t>
  </si>
  <si>
    <t>NUT_TX-U5MN_SAM_Def_SC_7_1</t>
  </si>
  <si>
    <t>Number of children Age: 0 to 5 Months defaulted-(NUT_TX-U5MN_SAM_Def_SC_7.1)</t>
  </si>
  <si>
    <t>NUT_TX-U5MN_SAM_Def_SC_7_2</t>
  </si>
  <si>
    <t>Number of children age: 6 - 23 Months defaulted- (NUT_TX-U5MN_SAM_Def_SC_7.2)</t>
  </si>
  <si>
    <t>NUT_TX-U5MN_SAM_Def_SC_7_3</t>
  </si>
  <si>
    <t>Number of children Age: 24 - 59 Months defaulted- (NUT_TX-U5MN_SAM_Def_SC_7.3)</t>
  </si>
  <si>
    <t>NUT_TX-U5MN_SAM_NR_SC_8_1</t>
  </si>
  <si>
    <t>Number of children age: 0 to 5 Months -non-respondent-(NUT_TX-U5MN_SAM_NR_SC_8.1)</t>
  </si>
  <si>
    <t>NUT_TX-U5MN_SAM_NR_SC_8_2</t>
  </si>
  <si>
    <t>Number of children age: 6 - 23 Months -non-respondent-(NUT_TX-U5MN_SAM_NR_SC_8.2)</t>
  </si>
  <si>
    <t>NUT_TX-U5MN_SAM_NR_SC_8_3</t>
  </si>
  <si>
    <t>Number of children age: 24 - 59 Months-non-respondent- (NUT_TX-U5MN_SAM_NR_SC_8.3)</t>
  </si>
  <si>
    <t>NUT_TX-U5MN_SAM_Ext_SC_9_1</t>
  </si>
  <si>
    <t>Number of children age: 0 to 5 Months who exit from severe acute malnutrition treatment during the reporting period-(NUT_TX-U5MN_SAM_Ext_SC_9.1)</t>
  </si>
  <si>
    <t>NUT_TX-U5MN_SAM_Ext_SC_9_2</t>
  </si>
  <si>
    <t>Number of children age: 6 - 23 Months who exit from severe acute malnutrition treatment during the reporting period- (NUT_TX-U5MN_SAM_Ext_SC_9.2)</t>
  </si>
  <si>
    <t>NUT_TX-U5MN_SAM_Ext_SC_9_3</t>
  </si>
  <si>
    <t>Number of children age: 24 - 59 Months who exit from severe acute malnutrition treatment during the reporting period- (NUT_TX-U5MN_SAM_Ext_SC_9.3)</t>
  </si>
  <si>
    <t>NUT_TX-U5MN_SAM_OTP</t>
  </si>
  <si>
    <t>Total SAM at the beginning of the month for OTP(NUT_TX-U5MN_SAM_OTP)</t>
  </si>
  <si>
    <t>NUT_TX-U5MN_SAM_Adt_OTP</t>
  </si>
  <si>
    <t>Total number of children with SAM admitted to OTP during the reporting period(NUT_TX-U5MN_SAM_Adt_OTP)</t>
  </si>
  <si>
    <t>NUT_TX-U5MN_SAM_Cur_OTP_1</t>
  </si>
  <si>
    <t>Number of children cured(NUT_TX-U5MN_SAM_Cur_OTP_1)</t>
  </si>
  <si>
    <t>NUT_TX-U5MN_SAM_died_OTP_2</t>
  </si>
  <si>
    <t>Number of children died(NUT_TX-U5MN_SAM_died_OTP_2)</t>
  </si>
  <si>
    <t>NUT_TX-U5MN_SAM_TO_OTP_3</t>
  </si>
  <si>
    <t>Number of children transferred out(NUT_TX-U5MN_SAM_TO_OTP_3)</t>
  </si>
  <si>
    <t>NUT_TX-U5MN_SAM_Def_OTP_4</t>
  </si>
  <si>
    <t>Number of children defaulted(NUT_TX-U5MN_SAM_Def_OTP_4)</t>
  </si>
  <si>
    <t>NUT_TX-U5MN_SAM_NR_OTP_5</t>
  </si>
  <si>
    <t>Number of children -non-respondent(NUT_TX-U5MN_SAM_NR_OTP_5)</t>
  </si>
  <si>
    <t>NUT_TX-U5MN_SAM_Ext_OTP_E</t>
  </si>
  <si>
    <t>Number of children who exit from severe acute malnutrition treatment during the reporting period(NUT_TX-U5MN_SAM_Ext_OTP_E)</t>
  </si>
  <si>
    <t>NUT_TX-U5MN__MAM_Beging_OTP</t>
  </si>
  <si>
    <t>Total MAM at the beginning of the month(NUT_TX-U5MN__MAM_Beging_OTP)</t>
  </si>
  <si>
    <t>NUT_TX-U5MN_MAM_Adt_TSFP</t>
  </si>
  <si>
    <t>Total number of children with MAM admitted to TSFP/IMAM during the reporting period(NUT_TX-U5MN_MAM_Adt_TSFP)</t>
  </si>
  <si>
    <t>xxNUT_TX-U5MN_MAM_Adt_TSFP</t>
  </si>
  <si>
    <t>Total number of children with MAM admitted to TSFP/IMAM during the reporting period(xxNUT_TX-U5MN_MAM_Adt_TSFP)</t>
  </si>
  <si>
    <t>NUT_TX-U5MN_SAM_Cur_TSFP_1</t>
  </si>
  <si>
    <t>Number of children cured(NUT_TX-U5MN_SAM_Cur_TSFP_1)</t>
  </si>
  <si>
    <t>NUT_TX-U5MN_SAM_died_TSFP_2</t>
  </si>
  <si>
    <t>Number of children died(NUT_TX-U5MN_SAM_died_TSFP_2)</t>
  </si>
  <si>
    <t>NUT_TX-U5MN_SAM_TO_TSFP_3</t>
  </si>
  <si>
    <t>Number of children transferred out(NUT_TX-U5MN_SAM_TO_TSFP_3)</t>
  </si>
  <si>
    <t>NUT_TX-U5MN_SAM_Def_TSFP_4</t>
  </si>
  <si>
    <t>Number of children defaulted(NUT_TX-U5MN_SAM_Def_TSFP_4)</t>
  </si>
  <si>
    <t>NUT_TX-U5MN_SAM_NR_TSFP_5</t>
  </si>
  <si>
    <t>Number of children -non-respondent(NUT_TX-U5MN_SAM_NR_TSFP_5)</t>
  </si>
  <si>
    <t>NUT_TX-U5MN__SAM_Ext_TSFP_E</t>
  </si>
  <si>
    <t>Number of children who exit from MAM treatment during the reporting period(NUT_TX-U5MN__SAM_Ext_TSFP_E)</t>
  </si>
  <si>
    <t>NUT_TX-U5MN_MAM_Beging_OTP</t>
  </si>
  <si>
    <t>Total MAM at the beginning of the month(NUT_TX-U5MN_MAM_Beging_OTP)</t>
  </si>
  <si>
    <t>NUT_TX-U5MN_MAM_Adt_OTP</t>
  </si>
  <si>
    <t>Total number of PLW with MAM admitted to TSFP/IMAM during the reporting period(NUT_TX-U5MN_MAM_Adt_OTP)</t>
  </si>
  <si>
    <t>NUT_TX-U5MN_Cur_TSFP_1</t>
  </si>
  <si>
    <t>Number of plw cured(NUT_TX-U5MN_Cur_TSFP_1)</t>
  </si>
  <si>
    <t>NUT_TX-U5MN_died_TSFP_2</t>
  </si>
  <si>
    <t>Number of PLW died(NUT_TX-U5MN_died_TSFP_2)</t>
  </si>
  <si>
    <t>NUT_TX-U5MN_TO_TSFP_3</t>
  </si>
  <si>
    <t>Number of PLW transferred out(NUT_TX-U5MN_TO_TSFP_3)</t>
  </si>
  <si>
    <t>NUT_TX-U5MN__Def_TSFP_4</t>
  </si>
  <si>
    <t>Number of PLW defaulted(NUT_TX-U5MN_.Def_TSFP_4)</t>
  </si>
  <si>
    <t>NUT_TX-U5MN_MAM__NR_TSFP_5</t>
  </si>
  <si>
    <t>Number of PLW -non-respondent(NUT_TX-U5MN_MAM_.NR_TSFP_5)</t>
  </si>
  <si>
    <t>NUT_TX-U5MN_MAM-Ext_TSFP_E</t>
  </si>
  <si>
    <t>Number of PLW who exit from MAM treatment during the reporting period(NUT_TX-U5MN_MAM-Ext_TSFP_E)</t>
  </si>
  <si>
    <t>NUT_DeW_Numerator</t>
  </si>
  <si>
    <t>Proportion of children 24-59 months de-wormed-Numerator</t>
  </si>
  <si>
    <t>NUT_TX-U5MN_SAM_us_OTP_8_</t>
  </si>
  <si>
    <t>OTP_Number of children unknown statu:NUT_TX-U5MN_SAM_us_OTP_8.</t>
  </si>
  <si>
    <t>NUT_TX-U5MN_SAM_US_TSFP_8_</t>
  </si>
  <si>
    <t>MAM_Number of children unknown status:NUT_TX-U5MN_SAM_US_TSFP_8.</t>
  </si>
  <si>
    <t>TB_1</t>
  </si>
  <si>
    <t>Number of bacteriologically confirmed New Pulmonary TB cases detected and enrolled in the reporting period by age and sex - 0 - 4 years, Male(TB. 1):TB</t>
  </si>
  <si>
    <t>TB_2</t>
  </si>
  <si>
    <t>Number of bacteriologically confirmed New Pulmonary TB cases detected and enrolled in the reporting period by age and sex - 0 - 4 years, Female(TB. 2):TB</t>
  </si>
  <si>
    <t>TB_3</t>
  </si>
  <si>
    <t>Number of bacteriologically confirmed New Pulmonary TB cases detected and enrolled in the reporting period by age and sex - 5 - 9 years, Male(TB. 3):TB</t>
  </si>
  <si>
    <t>TB_4</t>
  </si>
  <si>
    <t>Number of bacteriologically confirmed New Pulmonary TB cases detected and enrolled in the reporting period by age and sex - 5 - 9 years, Female(TB. 4):TB</t>
  </si>
  <si>
    <t>TB_5</t>
  </si>
  <si>
    <t>Number of bacteriologically confirmed New Pulmonary TB cases detected and enrolled in the reporting period by age and sex - 10 - 14 years, Male(TB. 5):TB</t>
  </si>
  <si>
    <t>TB_6</t>
  </si>
  <si>
    <t>Number of bacteriologically confirmed New Pulmonary TB cases detected and enrolled in the reporting period by age and sex - 10 - 14 years, Female(TB. 6):TB</t>
  </si>
  <si>
    <t>TB_7</t>
  </si>
  <si>
    <t>Number of bacteriologically confirmed New Pulmonary TB cases detected and enrolled in the reporting period by age and sex - 15 - 19 years, Male(TB. 7):TB</t>
  </si>
  <si>
    <t>TB_8</t>
  </si>
  <si>
    <t>Number of bacteriologically confirmed New Pulmonary TB cases detected and enrolled in the reporting period by age and sex - 15 - 19 years, Female(TB. 8):TB</t>
  </si>
  <si>
    <t>TB_9</t>
  </si>
  <si>
    <t>Number of bacteriologically confirmed New Pulmonary TB cases detected and enrolled in the reporting period by age and sex - 20 - 24 years, Male(TB. 9):TB</t>
  </si>
  <si>
    <t>TB_10</t>
  </si>
  <si>
    <t>Number of bacteriologically confirmed New Pulmonary TB cases detected and enrolled in the reporting period by age and sex - 20 - 24 years, Female(TB. 10):TB</t>
  </si>
  <si>
    <t>TB_11</t>
  </si>
  <si>
    <t>Number of bacteriologically confirmed New Pulmonary TB cases detected and enrolled in the reporting period by age and sex - 25 - 34 years, Male(TB. 11):TB</t>
  </si>
  <si>
    <t>TB_12</t>
  </si>
  <si>
    <t>Number of bacteriologically confirmed New Pulmonary TB cases detected and enrolled in the reporting period by age and sex - 25 - 34 years, Female(TB. 12):TB</t>
  </si>
  <si>
    <t>TB_13</t>
  </si>
  <si>
    <t>Number of bacteriologically confirmed New Pulmonary TB cases detected and enrolled in the reporting period by age and sex - 35 - 44 years, Male(TB. 13):TB</t>
  </si>
  <si>
    <t>TB_14</t>
  </si>
  <si>
    <t>Number of bacteriologically confirmed New Pulmonary TB cases detected and enrolled in the reporting period by age and sex - 35 - 44 years, Female(TB. 14):TB</t>
  </si>
  <si>
    <t>TB_15</t>
  </si>
  <si>
    <t>Number of bacteriologically confirmed New Pulmonary TB cases detected and enrolled in the reporting period by age and sex - 45 - 54 years, Male(TB. 15):TB</t>
  </si>
  <si>
    <t>TB_16</t>
  </si>
  <si>
    <t>Number of bacteriologically confirmed New Pulmonary TB cases detected and enrolled in the reporting period by age and sex - 45 - 54 years, Female(TB. 16):TB</t>
  </si>
  <si>
    <t>TB_17</t>
  </si>
  <si>
    <t>Number of bacteriologically confirmed New Pulmonary TB cases detected and enrolled in the reporting period by age and sex - 55 - 64 years, Male(TB. 17):TB</t>
  </si>
  <si>
    <t>TB_18</t>
  </si>
  <si>
    <t>Number of bacteriologically confirmed New Pulmonary TB cases detected and enrolled in the reporting period by age and sex - 55 - 64 years, Female(TB. 18):TB</t>
  </si>
  <si>
    <t>TB_19</t>
  </si>
  <si>
    <t>Number of bacteriologically confirmed New Pulmonary TB cases detected and enrolled in the reporting period by age and sex - &gt;=65 yr, Male(TB. 19):TB</t>
  </si>
  <si>
    <t>TB_20</t>
  </si>
  <si>
    <t>Number of bacteriologically confirmed New Pulmonary TB cases detected and enrolled in the reporting period by age and sex - &gt;=65 yr, Female(TB. 20):TB</t>
  </si>
  <si>
    <t>TB_TX_PTB_2_1</t>
  </si>
  <si>
    <t>Number of clinically diagnosed New pulmonary TB cases detected and enrolled in the reporting period by age and sex - 0 - 4 years, Male(TB_TX_PTB.2. 1):TB</t>
  </si>
  <si>
    <t>TB_TX_PTB_2_2</t>
  </si>
  <si>
    <t>Number of clinically diagnosed New pulmonary TB cases detected and enrolled in the reporting period by age and sex - 0 - 4 years, Female(TB_TX_PTB.2. 2):TB</t>
  </si>
  <si>
    <t>TB_TX_PTB_2_3</t>
  </si>
  <si>
    <t>Number of clinically diagnosed New pulmonary TB cases detected and enrolled in the reporting period by age and sex - 5 - 9 years, Male(TB_TX_PTB.2. 3):TB</t>
  </si>
  <si>
    <t>TB_TX_PTB_2_4</t>
  </si>
  <si>
    <t>Number of clinically diagnosed New pulmonary TB cases detected and enrolled in the reporting period by age and sex - 5 - 9 years, Female(TB_TX_PTB.2. 4):TB</t>
  </si>
  <si>
    <t>TB_TX_PTB_2_5</t>
  </si>
  <si>
    <t>Number of clinically diagnosed New pulmonary TB cases detected and enrolled in the reporting period by age and sex - 10 - 14 years, Male(TB_TX_PTB.2. 5):TB</t>
  </si>
  <si>
    <t>TB_TX_PTB_2_6</t>
  </si>
  <si>
    <t>Number of clinically diagnosed New pulmonary TB cases detected and enrolled in the reporting period by age and sex - 10 - 14 years, Female(TB_TX_PTB.2. 6):TB</t>
  </si>
  <si>
    <t>TB_TX_PTB_2_7</t>
  </si>
  <si>
    <t>Number of clinically diagnosed New pulmonary TB cases detected and enrolled in the reporting period by age and sex - 15 - 19 years, Male(TB_TX_PTB.2. 7):TB</t>
  </si>
  <si>
    <t>TB_TX_PTB_2_8</t>
  </si>
  <si>
    <t>Number of clinically diagnosed New pulmonary TB cases detected and enrolled in the reporting period by age and sex - 15 - 19 years, Female(TB_TX_PTB.2. 8):TB</t>
  </si>
  <si>
    <t>TB_TX_PTB_2_9</t>
  </si>
  <si>
    <t>Number of clinically diagnosed New pulmonary TB cases detected and enrolled in the reporting period by age and sex - 20 - 24 years, Male(TB_TX_PTB.2. 9):TB</t>
  </si>
  <si>
    <t>TB_TX_PTB_2_10</t>
  </si>
  <si>
    <t>Number of clinically diagnosed New pulmonary TB cases detected and enrolled in the reporting period by age and sex - 20 - 24 years, Female(TB_TX_PTB.2. 10):TB</t>
  </si>
  <si>
    <t>TB_TX_PTB_2_11</t>
  </si>
  <si>
    <t>Number of clinically diagnosed New pulmonary TB cases detected and enrolled in the reporting period by age and sex - 25 - 34 years, Male(TB_TX_PTB.2. 11):TB</t>
  </si>
  <si>
    <t>TB_TX_PTB_2_12</t>
  </si>
  <si>
    <t>Number of clinically diagnosed New pulmonary TB cases detected and enrolled in the reporting period by age and sex - 25 - 34 years, Female(TB_TX_PTB.2. 12):TB</t>
  </si>
  <si>
    <t>TB_TX_PTB_2_13</t>
  </si>
  <si>
    <t>Number of clinically diagnosed New pulmonary TB cases detected and enrolled in the reporting period by age and sex - 35 - 44 years, Male(TB_TX_PTB.2. 13):TB</t>
  </si>
  <si>
    <t>TB_TX_PTB_2_14</t>
  </si>
  <si>
    <t>Number of clinically diagnosed New pulmonary TB cases detected and enrolled in the reporting period by age and sex - 35 - 44 years, Female(TB_TX_PTB.2. 14):TB</t>
  </si>
  <si>
    <t>TB_TX_PTB_2_15</t>
  </si>
  <si>
    <t>Number of clinically diagnosed New pulmonary TB cases detected and enrolled in the reporting period by age and sex - 45 - 54 years, Male(TB_TX_PTB.2. 15):TB</t>
  </si>
  <si>
    <t>TB_TX_PTB_2_16</t>
  </si>
  <si>
    <t>Number of clinically diagnosed New pulmonary TB cases detected and enrolled in the reporting period by age and sex - 45 - 54 years, Female(TB_TX_PTB.2. 16):TB</t>
  </si>
  <si>
    <t>TB_TX_PTB_2_17</t>
  </si>
  <si>
    <t>Number of clinically diagnosed New pulmonary TB cases detected and enrolled in the reporting period by age and sex - 55 - 64 years, Male(TB_TX_PTB.2. 17):TB</t>
  </si>
  <si>
    <t>TB_TX_PTB_2_18</t>
  </si>
  <si>
    <t>Number of clinically diagnosed New pulmonary TB cases detected and enrolled in the reporting period by age and sex - 55 - 64 years, Female(TB_TX_PTB.2. 18):TB</t>
  </si>
  <si>
    <t>TB_TX_PTB_2_19</t>
  </si>
  <si>
    <t>Number of clinically diagnosed New pulmonary TB cases detected and enrolled in the reporting period by age and sex - &gt;=65 yr, Male(TB_TX_PTB.2. 19):TB</t>
  </si>
  <si>
    <t>TB_TX_PTB_2_20</t>
  </si>
  <si>
    <t>Number of clinically diagnosed New pulmonary TB cases detected and enrolled in the reporting period by age and sex - &gt;=65 yr, Female(TB_TX_PTB.2. 20):TB</t>
  </si>
  <si>
    <t>TB_TX_EPTB_1_1</t>
  </si>
  <si>
    <t>Number of clinically diagnosed and bacteriological confirmed new EPTB cases detected and enrolled in the reporting period by age and sex - 0 - 4 years, Male(TB_TX_EPTB.1. 1):TB</t>
  </si>
  <si>
    <t>TB_TX_EPTB_1_2</t>
  </si>
  <si>
    <t>Number of clinically diagnosed and bacteriological confirmed new EPTB cases detected and enrolled in the reporting period by age and sex - 0 - 4 years, Female(TB_TX_EPTB.1. 2):TB</t>
  </si>
  <si>
    <t>TB_TX_EPTB_1_3</t>
  </si>
  <si>
    <t>Number of clinically diagnosed and bacteriological confirmed new EPTB cases detected and enrolled in the reporting period by age and sex - 5 - 9 years, Male(TB_TX_EPTB.1. 3):TB</t>
  </si>
  <si>
    <t>TB_TX_EPTB_1_4</t>
  </si>
  <si>
    <t>Number of clinically diagnosed and bacteriological confirmed new EPTB cases detected and enrolled in the reporting period by age and sex - 5 - 9 years, Female(TB_TX_EPTB.1. 4):TB</t>
  </si>
  <si>
    <t>TB_TX_EPTB_1_5</t>
  </si>
  <si>
    <t>Number of clinically diagnosed and bacteriological confirmed new EPTB cases detected and enrolled in the reporting period by age and sex - 10 - 14 years, Male(TB_TX_EPTB.1. 5):TB</t>
  </si>
  <si>
    <t>TB_TX_EPTB_1_6</t>
  </si>
  <si>
    <t>Number of clinically diagnosed and bacteriological confirmed new EPTB cases detected and enrolled in the reporting period by age and sex - 10 - 14 years, Female(TB_TX_EPTB.1. 6):TB</t>
  </si>
  <si>
    <t>TB_TX_EPTB_1_7</t>
  </si>
  <si>
    <t>Number of clinically diagnosed and bacteriological confirmed new EPTB cases detected and enrolled in the reporting period by age and sex - 15 - 19 years, Male(TB_TX_EPTB.1. 7):TB</t>
  </si>
  <si>
    <t>TB_TX_EPTB_1_8</t>
  </si>
  <si>
    <t>Number of clinically diagnosed and bacteriological confirmed new EPTB cases detected and enrolled in the reporting period by age and sex - 15 - 19 years, Female(TB_TX_EPTB.1. 8):TB</t>
  </si>
  <si>
    <t>TB_TX_EPTB_1_9</t>
  </si>
  <si>
    <t>Number of clinically diagnosed and bacteriological confirmed new EPTB cases detected and enrolled in the reporting period by age and sex - 20 - 24 years, Male(TB_TX_EPTB.1. 9):TB</t>
  </si>
  <si>
    <t>TB_TX_EPTB_1_10</t>
  </si>
  <si>
    <t>Number of clinically diagnosed and bacteriological confirmed new EPTB cases detected and enrolled in the reporting period by age and sex - 20 - 24 years, Female(TB_TX_EPTB.1. 10):TB</t>
  </si>
  <si>
    <t>TB_TX_EPTB_1_11</t>
  </si>
  <si>
    <t>Number of clinically diagnosed and bacteriological confirmed new EPTB cases detected and enrolled in the reporting period by age and sex - 25 - 34 years, Male(TB_TX_EPTB.1. 11):TB</t>
  </si>
  <si>
    <t>TB_TX_EPTB_1_12</t>
  </si>
  <si>
    <t>Number of clinically diagnosed and bacteriological confirmed new EPTB cases detected and enrolled in the reporting period by age and sex - 25 - 34 years, Female(TB_TX_EPTB.1. 12):TB</t>
  </si>
  <si>
    <t>TB_TX_EPTB_1_13</t>
  </si>
  <si>
    <t>Number of clinically diagnosed and bacteriological confirmed new EPTB cases detected and enrolled in the reporting period by age and sex - 35 - 44 years, Male(TB_TX_EPTB.1. 13):TB</t>
  </si>
  <si>
    <t>TB_TX_EPTB_1_14</t>
  </si>
  <si>
    <t>Number of clinically diagnosed and bacteriological confirmed new EPTB cases detected and enrolled in the reporting period by age and sex - 35 - 44 years, Female(TB_TX_EPTB.1. 14):TB</t>
  </si>
  <si>
    <t>TB_TX_EPTB_1_15</t>
  </si>
  <si>
    <t>Number of clinically diagnosed and bacteriological confirmed new EPTB cases detected and enrolled in the reporting period by age and sex - 45 - 54 years, Male(TB_TX_EPTB.1. 15):TB</t>
  </si>
  <si>
    <t>TB_TX_EPTB_1_16</t>
  </si>
  <si>
    <t>Number of clinically diagnosed and bacteriological confirmed new EPTB cases detected and enrolled in the reporting period by age and sex - 45 - 54 years, Female(TB_TX_EPTB.1. 16):TB</t>
  </si>
  <si>
    <t>TB_TX_EPTB_1_17</t>
  </si>
  <si>
    <t>Number of clinically diagnosed and bacteriological confirmed new EPTB cases detected and enrolled in the reporting period by age and sex - 55 - 64 years, Male(TB_TX_EPTB.1. 17):TB</t>
  </si>
  <si>
    <t>TB_TX_EPTB_1_18</t>
  </si>
  <si>
    <t>Number of clinically diagnosed and bacteriological confirmed new EPTB cases detected and enrolled in the reporting period by age and sex - 55 - 64 years, Female(TB_TX_EPTB.1. 18):TB</t>
  </si>
  <si>
    <t>TB_TX_EPTB_1_19</t>
  </si>
  <si>
    <t>Number of clinically diagnosed and bacteriological confirmed new EPTB cases detected and enrolled in the reporting period by age and sex - &gt;=65 yr, Male(TB_TX_EPTB.1. 19):TB</t>
  </si>
  <si>
    <t>TB_TX_EPTB_1_20</t>
  </si>
  <si>
    <t>Number of clinically diagnosed and bacteriological confirmed new EPTB cases detected and enrolled in the reporting period by age and sex - &gt;=65 yr, Female(TB_TX_EPTB.1. 20):TB</t>
  </si>
  <si>
    <t>TB_CR_PTB_1_1_1</t>
  </si>
  <si>
    <t>Treatment outcome of cohort of new PTB+ bacteriologically confirmed TB cases - Completed(TB_CR_PTB.1.1. 1):TB</t>
  </si>
  <si>
    <t>TB_CR_PTB_1_1_2</t>
  </si>
  <si>
    <t>Treatment outcome of cohort of new PTB+ bacteriologically confirmed TB cases - Cured(TB_CR_PTB.1.1. 2):TB</t>
  </si>
  <si>
    <t>TB_CR_PTB_1_1_3</t>
  </si>
  <si>
    <t>Treatment outcome of cohort of new PTB+ bacteriologically confirmed TB cases - Lost to follow-up(TB_CR_PTB.1.1. 3):TB</t>
  </si>
  <si>
    <t>TB_CR_PTB_1_1_4</t>
  </si>
  <si>
    <t>Treatment outcome of cohort of new PTB+ bacteriologically confirmed TB cases - Dead(TB_CR_PTB.1.1. 4):TB</t>
  </si>
  <si>
    <t>TB_CR_PTB_1_1_5</t>
  </si>
  <si>
    <t>Treatment outcome of cohort of new PTB+ bacteriologically confirmed TB cases - Failed(TB_CR_PTB.1.1. 5):TB</t>
  </si>
  <si>
    <t>TB_CR_PNTB_2_1_1</t>
  </si>
  <si>
    <t>Treatment outcome of cohort of clinically diagnosed pulmonary TB cases(P/Neg) - Completed(TB_CR_PNTB.2.1. 1):TB</t>
  </si>
  <si>
    <t>TB_CR_PNTB_2_1_2</t>
  </si>
  <si>
    <t>Treatment outcome of cohort of clinically diagnosed pulmonary TB cases(P/Neg) - Lost to follow-up(TB_CR_PNTB.2.1. 2):TB</t>
  </si>
  <si>
    <t>TB_CR_PNTB_2_1_3</t>
  </si>
  <si>
    <t>Treatment outcome of cohort of clinically diagnosed pulmonary TB cases(P/Neg) - Deaths(TB_CR_PNTB.2.1. 3):TB</t>
  </si>
  <si>
    <t>TB_CR_PNTB_2_1_4</t>
  </si>
  <si>
    <t>Treatment outcome of cohort of clinically diagnosed pulmonary TB cases(P/Neg) - Failed(TB_CR_PNTB.2.1. 4):TB</t>
  </si>
  <si>
    <t>TB_CR_PNTB_2_1_5</t>
  </si>
  <si>
    <t>Treatment outcome of cohort of clinically diagnosed pulmonary TB cases(P/Neg) - Moved to DR TB Register(TB_CR_PNTB.2.1. 5):TB</t>
  </si>
  <si>
    <t>TB_CR_EPTB_3_1_1</t>
  </si>
  <si>
    <t>Treatment outcome of cohort of new extra pulmonary TB (EPTB)cases - Completed(TB_CR_EPTB.3.1. 1):TB</t>
  </si>
  <si>
    <t>TB_CR_EPTB_3_1_2</t>
  </si>
  <si>
    <t>Treatment outcome of cohort of new extra pulmonary TB (EPTB)cases - Lost to follow-up(TB_CR_EPTB.3.1. 2):TB</t>
  </si>
  <si>
    <t>TB_CR_EPTB_3_1_3</t>
  </si>
  <si>
    <t>Treatment outcome of cohort of new extra pulmonary TB (EPTB)cases - Deaths(TB_CR_EPTB.3.1. 3):TB</t>
  </si>
  <si>
    <t>TB_CR_EPTB_3_1_4</t>
  </si>
  <si>
    <t>Treatment outcome of cohort of new extra pulmonary TB (EPTB)cases - Failed(TB_CR_EPTB.3.1. 4):TB</t>
  </si>
  <si>
    <t>TB_CR_EPTB_3_1_5</t>
  </si>
  <si>
    <t>Treatment outcome of cohort of new extra pulmonary TB (EPTB)cases - Moved to DR TB Register(TB_CR_EPTB.3.1. 5):TB</t>
  </si>
  <si>
    <t>TB_COMM_</t>
  </si>
  <si>
    <t>Treatment outcome of cohort of all Relapse cases - Number of all forms TB cases detected and registered on TB unit register who are initially referred by the community(TB_COMM.):TB</t>
  </si>
  <si>
    <t>TB_CBTSR_2_</t>
  </si>
  <si>
    <t>Treatment outcome of cohort of all Relapse cases - Total number of patients who started TB treatment in same reporting month of pervious year and who received any form of treatment adherence support from Health extension workers(TB_CBTSR.2.):TB</t>
  </si>
  <si>
    <t>TB_CI_1_1_1</t>
  </si>
  <si>
    <t>Total number of contacts with index bacteriologically confirmed pulmonary drug susceptible TB cases during the reporting Month by age - 0 - 4 years(TB_CI.1.1. 1):TB</t>
  </si>
  <si>
    <t>TB_CI_1_1_2</t>
  </si>
  <si>
    <t>Total number of contacts with index bacteriologically confirmed pulmonary drug susceptible TB cases during the reporting Month by age - 5 - 14 years(TB_CI.1.1. 2):TB</t>
  </si>
  <si>
    <t>TB_CI_1_1_3</t>
  </si>
  <si>
    <t>Total number of contacts with index bacteriologically confirmed pulmonary drug susceptible TB cases during the reporting Month by age - &gt;= 15 years(TB_CI.1.1. 3):TB</t>
  </si>
  <si>
    <t>TB_CI_1_2_1</t>
  </si>
  <si>
    <t>Total number of contacts with index bacteriologically confirmed DR-TB cases during the reporting Month - 0 - 4 years(TB_CI.1.2. 1):TB</t>
  </si>
  <si>
    <t>TB_CI_1_2_2</t>
  </si>
  <si>
    <t>Total number of contacts with index bacteriologically confirmed DR-TB cases during the reporting Month - 5 - 14 years(TB_CI.1.2. 2):TB</t>
  </si>
  <si>
    <t>TB_CI_1_2_3</t>
  </si>
  <si>
    <t>Total number of contacts with index bacteriologically confirmed DR-TB cases during the reporting Month - &gt;= 15 years(TB_CI.1.2. 3):TB</t>
  </si>
  <si>
    <t>TB_CI_SCR_1_1</t>
  </si>
  <si>
    <t>Contacts of drug susceptible bacteriological confirmed pulmonary TB cases screened for TB - 0 - 4 years(TB_CI_SCR.1. 1):TB</t>
  </si>
  <si>
    <t>TB_CI_SCR_1_2</t>
  </si>
  <si>
    <t>Contacts of drug susceptible bacteriological confirmed pulmonary TB cases screened for TB - 4 - 14 years(TB_CI_SCR.1. 2):TB</t>
  </si>
  <si>
    <t>TB_CI_SCR_1_3</t>
  </si>
  <si>
    <t>Contacts of drug susceptible bacteriological confirmed pulmonary TB cases screened for TB - &gt;= 15 years(TB_CI_SCR.1. 3):TB</t>
  </si>
  <si>
    <t>TB_CI_SCR_2_1</t>
  </si>
  <si>
    <t>Contacts of drug Resistant TB cases screened for TB - 0 - 4 years(TB_CI_SCR.2. 1):TB</t>
  </si>
  <si>
    <t>TB_CI_SCR_2_2</t>
  </si>
  <si>
    <t>Contacts of drug Resistant TB cases screened for TB - 5 - 14 years(TB_CI_SCR.2. 2):TB</t>
  </si>
  <si>
    <t>TB_CI_SCR_2_3</t>
  </si>
  <si>
    <t>Contacts of drug Resistant TB cases screened for TB - &gt;= 15 years(TB_CI_SCR.2. 3):TB</t>
  </si>
  <si>
    <t>TB_TPT_1</t>
  </si>
  <si>
    <t>Number of contacts screened negative for TB and put on TB Preventive Therapy (TPT) in the reporting period by Age Group - 0 - 4 years(TB_TPT. 1):TB</t>
  </si>
  <si>
    <t>TB_TPT_2</t>
  </si>
  <si>
    <t>Number of contacts screened negative for TB and put on TB Preventive Therapy (TPT) in the reporting period by Age Group - 5 - 14 years(TB_TPT. 2):TB</t>
  </si>
  <si>
    <t>TB_TPT_3</t>
  </si>
  <si>
    <t>Number of contacts screened negative for TB and put on TB Preventive Therapy (TPT) in the reporting period by Age Group - &gt;= 15 years(TB_TPT. 3):TB</t>
  </si>
  <si>
    <t>TB_TPT_1_4_1</t>
  </si>
  <si>
    <t>Number of contacts screened negative for TB and put on TB Preventive Therapy (TPT) in the reporting period by regimen type - 3HP(TB_TPT.1.4. 1):TB</t>
  </si>
  <si>
    <t>TB_TPT_1_4_2</t>
  </si>
  <si>
    <t>Number of contacts screened negative for TB and put on TB Preventive Therapy (TPT) in the reporting period by regimen type - 3RH(TB_TPT.1.4. 2):TB</t>
  </si>
  <si>
    <t>TB_TPT_1_4_3</t>
  </si>
  <si>
    <t>Number of contacts screened negative for TB and put on TB Preventive Therapy (TPT) in the reporting period by regimen type - 6H(TB_TPT.1.4. 3):TB</t>
  </si>
  <si>
    <t>TB_DST_1_1</t>
  </si>
  <si>
    <t>Number of notified bacteriologically confirmed TB cases evaluated for drug susceptibility testing according to national policy during the reporting month - New(TB_DST.1. 1):TB</t>
  </si>
  <si>
    <t>TB_DR_NUT_1_1</t>
  </si>
  <si>
    <t>Number of drug susceptible TB cases screened for Malnutrition during the reporting period - Normal(TB_DR_NUT.1. 1):TB</t>
  </si>
  <si>
    <t>TB_DR_NUT_1_2</t>
  </si>
  <si>
    <t>Number of drug susceptible TB cases screened for Malnutrition during the reporting period - MAM(TB_DR_NUT.1. 2):TB</t>
  </si>
  <si>
    <t>TB_DR_NUT_1_3</t>
  </si>
  <si>
    <t>Number of drug susceptible TB cases screened for Malnutrition during the reporting period - SAM(TB_DR_NUT.1. 3):TB</t>
  </si>
  <si>
    <t>Leprosy_case_notification:_All_leprosy_case_detected</t>
  </si>
  <si>
    <t>4.2.3.1.1-Leprosy case notification: All leprosy case detected( N+O+R+D) @@@ [Leprosy Datasource Monthly]</t>
  </si>
  <si>
    <t>Leprosy_case_notification:_Male</t>
  </si>
  <si>
    <t>4.2.3.1.2-Leprosy case notification: Male</t>
  </si>
  <si>
    <t>Leprosy_case_notification_Female</t>
  </si>
  <si>
    <t>4.2.3.1.3-Leprosy case notification: Female</t>
  </si>
  <si>
    <t>Leprosy_case_notification_New_Leprosy_cases_detected_</t>
  </si>
  <si>
    <t>4.2.3.1.4-Leprosy case notification: New Leprosy cases detected :</t>
  </si>
  <si>
    <t>Leprosy_case_notification_PB_Male_lt_15_yrs</t>
  </si>
  <si>
    <t>4.2.3.1.5-Leprosy case notification: PB: Male &lt;15 yrs</t>
  </si>
  <si>
    <t>Leprosy_case_notification_PB_Male_gte_15_yrs</t>
  </si>
  <si>
    <t>4.2.3.1.6-Leprosy case notification: PB: Male = &gt;15 yrs</t>
  </si>
  <si>
    <t>Leprosy_case_notification_PB_Female_lt_15_yrs</t>
  </si>
  <si>
    <t>4.2.3.1.7-Leprosy case notification: PB: Female &lt;15 yrs</t>
  </si>
  <si>
    <t>Leprosy_case_notification_PB_Female_gte_15_yrs</t>
  </si>
  <si>
    <t>4.2.3.1.8-Leprosy case notification: PB: Female = &gt;15 yrs</t>
  </si>
  <si>
    <t>Leprosy_case_notification_MB__Male_lt_15_yrs</t>
  </si>
  <si>
    <t>4.2.3.1.9-Leprosy case notification: MB : Male &lt;15 yrs</t>
  </si>
  <si>
    <t>Leprosy_case_notification_MB__Male_gte_15_yrs</t>
  </si>
  <si>
    <t>4.2.3.1.10-Leprosy case notification: MB : Male = &gt;15 yrs</t>
  </si>
  <si>
    <t>Leprosy_case_notification_MB__Female_lt__15_yrs</t>
  </si>
  <si>
    <t>4.2.3.1.11-Leprosy case notification: MB : Female &lt; 15 yrs</t>
  </si>
  <si>
    <t>Leprosy_case_notification_MB__Female_=&gt;_15_yrs</t>
  </si>
  <si>
    <t>4.2.3.1.12-Leprosy case notification: MB : Female =&gt; 15 yrs</t>
  </si>
  <si>
    <t>Grade_II_disability_rate</t>
  </si>
  <si>
    <t>4.2.3.2.1-Grade II disability rate among new cases of leprosy: New leprosy cases with Grade II disability (MB+PB)</t>
  </si>
  <si>
    <t>Grade_II_disability_rate_among_new_cases_of_leprosy_Male_lt_15</t>
  </si>
  <si>
    <t>4.2.3.2.2-Grade II disability rate among new cases of leprosy: Male &lt;15</t>
  </si>
  <si>
    <t>Grade_II_disability_rate_among_new_cases_of_leprosy_Male_=&gt;15</t>
  </si>
  <si>
    <t>4.2.3.2.3-Grade II disability rate among new cases of leprosy: Male =&gt;15</t>
  </si>
  <si>
    <t>Grade_II_disability_rate_among_new_cases_of_leprosy_Female&lt;15</t>
  </si>
  <si>
    <t>4.2.3.2.4-Grade II disability rate among new cases of leprosy: Female&lt;15</t>
  </si>
  <si>
    <t>Grade_II_disability_rate_among_new_cases_of_leprosy_Female_=&gt;15</t>
  </si>
  <si>
    <t>4.2.3.2.5-Grade II disability rate among new cases of leprosy: Female =&gt;15</t>
  </si>
  <si>
    <t>LEP_NOT__1_1_1</t>
  </si>
  <si>
    <t>New Leprosy cases detected(PB) - &lt; 15 years, Male(LEP_NOT_.1.1. 1):Leprosy</t>
  </si>
  <si>
    <t>LEP_NOT__1_1_2</t>
  </si>
  <si>
    <t>New Leprosy cases detected(PB) - &lt; 15 years, Female(LEP_NOT_.1.1. 2):</t>
  </si>
  <si>
    <t>LEP_NOT__1_1_3</t>
  </si>
  <si>
    <t>New Leprosy cases detected(PB) - &gt;= 15 years, Male(LEP_NOT_.1.1. 3):</t>
  </si>
  <si>
    <t>LEP_NOT__1_1_4</t>
  </si>
  <si>
    <t>New Leprosy cases detected(PB) - &gt;= 15 years, Female(LEP_NOT_.1.1. 4):</t>
  </si>
  <si>
    <t>LEP_NOT__1_1_5_1</t>
  </si>
  <si>
    <t>New Leprosy cases detected(MB) - &lt; 15 years, Male(LEP_NOT_.1.1.5. 1):</t>
  </si>
  <si>
    <t>LEP_NOT__1_1_5_2</t>
  </si>
  <si>
    <t>New Leprosy cases detected(MB) - &lt; 15 years, Female(LEP_NOT_.1.1.5. 2):</t>
  </si>
  <si>
    <t>LEP_NOT__1_1_5_3</t>
  </si>
  <si>
    <t>New Leprosy cases detected(MB) - &gt;= 15 years, Male(LEP_NOT_.1.1.5. 3):</t>
  </si>
  <si>
    <t>LEP_NOT__1_1_5_4</t>
  </si>
  <si>
    <t>New Leprosy cases detected(MB) - &gt;= 15 years, Female(LEP_NOT_.1.1.5. 4):</t>
  </si>
  <si>
    <t>LEP_DIS_1_1</t>
  </si>
  <si>
    <t>New leprosy cases with Grade II disability (MB+PB) - &lt; 15 years, Male(LEP_DIS.1. 1):</t>
  </si>
  <si>
    <t>LEP_DIS_1_2</t>
  </si>
  <si>
    <t>New leprosy cases with Grade II disability (MB+PB) - &lt; 15 years, Female(LEP_DIS.1. 2):</t>
  </si>
  <si>
    <t>LEP_DIS_1_3</t>
  </si>
  <si>
    <t>New leprosy cases with Grade II disability (MB+PB) - &gt;= 15 years, Male(LEP_DIS.1. 3):</t>
  </si>
  <si>
    <t>LEP_DIS_1_4</t>
  </si>
  <si>
    <t>New leprosy cases with Grade II disability (MB+PB) - &gt;= 15 years, Female(LEP_DIS.1. 4):</t>
  </si>
  <si>
    <t>LEP_TX_2_</t>
  </si>
  <si>
    <t>Leprosy Treatment Completion Rate - Registered cohort of MB cases(LEP_TX.2.):</t>
  </si>
  <si>
    <t>LEP_TX_3_</t>
  </si>
  <si>
    <t>Leprosy Treatment Completion Rate - Treatment completed MB cases(LEP_TX.3.):</t>
  </si>
  <si>
    <t>LEP_TX_4_</t>
  </si>
  <si>
    <t>Leprosy Treatment Completion Rate - Registered cohort of PB cases(LEP_TX.4.):</t>
  </si>
  <si>
    <t>LEP_TX_5_</t>
  </si>
  <si>
    <t>Leprosy Treatment Completion Rate - Treatment completed PB cases(LEP_TX.5.):</t>
  </si>
  <si>
    <t>ucr description with sn</t>
  </si>
  <si>
    <t>Old Id</t>
  </si>
  <si>
    <t>Nutrition</t>
  </si>
  <si>
    <t>Malaria</t>
  </si>
  <si>
    <t>NCD</t>
  </si>
  <si>
    <t>NTD</t>
  </si>
  <si>
    <t>TB</t>
  </si>
  <si>
    <t>Leprosy</t>
  </si>
  <si>
    <t>MS_OPD_NumOV_1_1</t>
  </si>
  <si>
    <t>Number of outpatient visits - &lt; 5 Years, Male(MS_OPD_NumOV.1. 1):Medical</t>
  </si>
  <si>
    <t>MS_OPD_NumOV_1_2</t>
  </si>
  <si>
    <t>Number of outpatient visits - &lt; 5 Years, Female(MS_OPD_NumOV.1. 2):Medical</t>
  </si>
  <si>
    <t>MS_OPD_NumOV_1_3</t>
  </si>
  <si>
    <t>Number of outpatient visits - 5 - 10 Years, Male(MS_OPD_NumOV.1. 3):Medical</t>
  </si>
  <si>
    <t>MS_OPD_NumOV_1_4</t>
  </si>
  <si>
    <t>Number of outpatient visits - 5 - 10 Years, Female(MS_OPD_NumOV.1. 4):Medical</t>
  </si>
  <si>
    <t>MS_OPD_NumOV_1_5</t>
  </si>
  <si>
    <t>Number of outpatient visits - 11 - 19 Years, Male(MS_OPD_NumOV.1. 5):Medical</t>
  </si>
  <si>
    <t>MS_OPD_NumOV_1_6</t>
  </si>
  <si>
    <t>Number of outpatient visits - 11 - 19 Years, Female(MS_OPD_NumOV.1. 6):Medical</t>
  </si>
  <si>
    <t>MS_OPD_NumOV_1_7</t>
  </si>
  <si>
    <t>Number of outpatient visits - 20 - 29 Years, Male(MS_OPD_NumOV.1. 7):Medical</t>
  </si>
  <si>
    <t>MS_OPD_NumOV_1_8</t>
  </si>
  <si>
    <t>Number of outpatient visits - 20 - 29 Years, Female(MS_OPD_NumOV.1. 8):Medical</t>
  </si>
  <si>
    <t>MS_OPD_NumOV_1_9</t>
  </si>
  <si>
    <t>Number of outpatient visits - 30 - 45 Years, Male(MS_OPD_NumOV.1. 9):Medical</t>
  </si>
  <si>
    <t>MS_OPD_NumOV_1_10</t>
  </si>
  <si>
    <t>Number of outpatient visits - 30 - 45 Years, Female(MS_OPD_NumOV.1. 10):Medical</t>
  </si>
  <si>
    <t>MS_OPD_NumOV_1_11</t>
  </si>
  <si>
    <t>Number of outpatient visits - 46 - 65 Years, Male(MS_OPD_NumOV.1. 11):Medical</t>
  </si>
  <si>
    <t>MS_OPD_NumOV_1_12</t>
  </si>
  <si>
    <t>Number of outpatient visits - 46 - 65 Years, Female(MS_OPD_NumOV.1. 12):Medical</t>
  </si>
  <si>
    <t>MS_OPD_NumOV_1_13</t>
  </si>
  <si>
    <t>Number of outpatient visits - &gt;= 66 Years, Male(MS_OPD_NumOV.1. 13):Medical</t>
  </si>
  <si>
    <t>MS_OPD_NumOV_1_14</t>
  </si>
  <si>
    <t>Number of outpatient visits - &gt;= 66 Years, Female(MS_OPD_NumOV.1. 14):Medical</t>
  </si>
  <si>
    <t>MS_OPD_NumOV_2_</t>
  </si>
  <si>
    <t>Number of outpatient visits - Number of health insurance beneficiaries that visited HF in the reporting period(MS_OPD_NumOV.2.):Medical</t>
  </si>
  <si>
    <t>HCSM_EDA_TDR</t>
  </si>
  <si>
    <t>Tracer drug availability - Tracer drug availability(HCSM_EDA_TDR):</t>
  </si>
  <si>
    <t>PMS_AVAIL_1_26_</t>
  </si>
  <si>
    <t>Tracer drug availability - HP_Amoxicillin dispersible tablet(PMS_AVAIL.1.26.):Medical</t>
  </si>
  <si>
    <t>PMS_AVAIL_1_27_</t>
  </si>
  <si>
    <t>Tracer drug availability - HP_Oral Rehydration Salts(PMS_AVAIL.1.27.):Medical</t>
  </si>
  <si>
    <t>PMS_AVAIL_1_28_</t>
  </si>
  <si>
    <t>Tracer drug availability - HP_Zinc dispersible tablet(PMS_AVAIL.1.28.):Medical</t>
  </si>
  <si>
    <t>PMS_AVAIL_1_29_</t>
  </si>
  <si>
    <t>Tracer drug availability - HP_Gentamycin Sulphate injection(PMS_AVAIL.1.29.):Medical</t>
  </si>
  <si>
    <t>PMS_AVAIL_1_30_</t>
  </si>
  <si>
    <t>Tracer drug availability - HP_Medroxyprogesterone Injection(PMS_AVAIL.1.30.):Medical</t>
  </si>
  <si>
    <t>PMS_AVAIL_1_31_</t>
  </si>
  <si>
    <t>Tracer drug availability - HP_Arthmeter + Lumfanthrine (Coartem) tablet (any packing)(PMS_AVAIL.1.31.):Medical</t>
  </si>
  <si>
    <t>PMS_AVAIL_1_32_</t>
  </si>
  <si>
    <t>Tracer drug availability - HP_Ferrous sulphate + folic acid(PMS_AVAIL.1.32.):Medical</t>
  </si>
  <si>
    <t>PMS_AVAIL_1_33_</t>
  </si>
  <si>
    <t>Tracer drug availability - HP_Albendazole tablet/suspension(PMS_AVAIL.1.33.):Medical</t>
  </si>
  <si>
    <t>Medical</t>
  </si>
  <si>
    <t>Sum</t>
  </si>
  <si>
    <t>Description</t>
  </si>
  <si>
    <t>title builder</t>
  </si>
  <si>
    <t>UCR Title</t>
  </si>
  <si>
    <t>ANC</t>
  </si>
  <si>
    <t>Birth Attendants (BA)</t>
  </si>
  <si>
    <t>Immunization (EPI)</t>
  </si>
  <si>
    <t>NUT_LBW</t>
  </si>
  <si>
    <t>Percentage of live births that weigh less than 2,500gm out of the total live births weighed</t>
  </si>
  <si>
    <t>NUT_GMP.</t>
  </si>
  <si>
    <t>Number of live-born babies with birth weight less than 2,500 gm</t>
  </si>
  <si>
    <t>NUT_LBW.2.</t>
  </si>
  <si>
    <t>Total number of live births weighed</t>
  </si>
  <si>
    <t>NTR_GMP.1</t>
  </si>
  <si>
    <t>Number of children less than 2 yr weighted during GMP session</t>
  </si>
  <si>
    <t>NTR_GMP.1. 1</t>
  </si>
  <si>
    <t>0 - 5 months</t>
  </si>
  <si>
    <t>NTR_GMP.1. 2</t>
  </si>
  <si>
    <t>6 - 23 months</t>
  </si>
  <si>
    <t>NUT_GMP.MM.1</t>
  </si>
  <si>
    <t>Number of weights recorded with moderate malnutrition, by age (Z-score between -2 and -3)</t>
  </si>
  <si>
    <t>NUT_GMP.MM.1. 1</t>
  </si>
  <si>
    <t>NUT_GMP.MM.1. 2</t>
  </si>
  <si>
    <t>NUT_GMP_SM</t>
  </si>
  <si>
    <t>Number of weights recorded with severe malnutrition, by age (Z-score below (-3)</t>
  </si>
  <si>
    <t>NUT_GMP_SM. 1</t>
  </si>
  <si>
    <t>NUT_GMP_SM. 2</t>
  </si>
  <si>
    <t>NCH_NTR_VAS</t>
  </si>
  <si>
    <t>NUT_VITA</t>
  </si>
  <si>
    <t>Total number of children aged 6-59 months who received Vitamin A supplementation dis aggregated by age</t>
  </si>
  <si>
    <t>NUT_VITA.2</t>
  </si>
  <si>
    <t>Total number of children aged 6-59 months who received Vitamin A supplementation dis aggregated by dose</t>
  </si>
  <si>
    <t>NUT_VITA.2. 1</t>
  </si>
  <si>
    <t>First dose</t>
  </si>
  <si>
    <t>Second dose</t>
  </si>
  <si>
    <t>NUT_DeW.1</t>
  </si>
  <si>
    <t>Total number of children aged 24 - 59 months dewormed</t>
  </si>
  <si>
    <t>NUT_DeW.1. 1</t>
  </si>
  <si>
    <t>NUT_DeW.1. 2</t>
  </si>
  <si>
    <t>NUT_DeW.2.</t>
  </si>
  <si>
    <t>Number of pregnant women De-wormed</t>
  </si>
  <si>
    <t>NUT_IFA.1</t>
  </si>
  <si>
    <t>Total number of Pregnant women received IFA at least 90 plus</t>
  </si>
  <si>
    <t>NUT_IFA.1. 1</t>
  </si>
  <si>
    <t>10 - 14 years</t>
  </si>
  <si>
    <t>NUT_IFA.1. 2</t>
  </si>
  <si>
    <t>15 - 19 years</t>
  </si>
  <si>
    <t>NUT_IFA.1. 3</t>
  </si>
  <si>
    <t>&gt;= 20 years</t>
  </si>
  <si>
    <t>NUT_PreSMN.1</t>
  </si>
  <si>
    <t>Total number of PLW screened for acute malnutrition by MUAC status</t>
  </si>
  <si>
    <t>NUT_PreSMN.1. 1</t>
  </si>
  <si>
    <t>MUAC &lt; 23 cm</t>
  </si>
  <si>
    <t>NUT_PreSMN.1. 2</t>
  </si>
  <si>
    <t>MUAC &gt;= 23 cm</t>
  </si>
  <si>
    <t>NUT_PreSMN.2</t>
  </si>
  <si>
    <t>Total number of PLW screened for acute malnutrition By maternal status:</t>
  </si>
  <si>
    <t>NUT_PreSMN.2. 1</t>
  </si>
  <si>
    <t>Pregnant</t>
  </si>
  <si>
    <t>NUT_PreSMN.2. 2</t>
  </si>
  <si>
    <t>lactating</t>
  </si>
  <si>
    <t>NUT_U5SMN</t>
  </si>
  <si>
    <t>Total Number of children &lt; 5 yr screened for acute malnutrition</t>
  </si>
  <si>
    <t>NUT_U5SMN. 1</t>
  </si>
  <si>
    <t>NUT_U5SMN. 2</t>
  </si>
  <si>
    <t>NUT_U5SMN. 3</t>
  </si>
  <si>
    <t>24 - 59 Months</t>
  </si>
  <si>
    <t>NUT_U5SMN.MAM.1</t>
  </si>
  <si>
    <t>Number of &lt;5yr children screened and have moderate acute malnutrition</t>
  </si>
  <si>
    <t>NUT_U5SMN.MAM.1. 1</t>
  </si>
  <si>
    <t>NUT_U5SMN.MAM.1. 2</t>
  </si>
  <si>
    <t>NUT_U5SMN.MAM.1. 3</t>
  </si>
  <si>
    <t>NUT_U5SMN.SAM.1</t>
  </si>
  <si>
    <t>Number of &lt;5yr children screened and have severe acute malnutrition</t>
  </si>
  <si>
    <t>NUT_U5SMN.SAM.1. 1</t>
  </si>
  <si>
    <t>NUT_U5SMN.SAM.1. 2</t>
  </si>
  <si>
    <t>NUT_U5SMN.SAM.1. 3</t>
  </si>
  <si>
    <t>NTR_GMP</t>
  </si>
  <si>
    <t>Admission and treatment outcome for management of severe acute malnutrition in children under 6-59 Months for OTP</t>
  </si>
  <si>
    <t>Total SAM at the beginning of the month for OTP</t>
  </si>
  <si>
    <t>NUT_TX-U5MN_SAM_us_OTP_8.</t>
  </si>
  <si>
    <t>OTP_Number of children unknown status</t>
  </si>
  <si>
    <t>Total number of children with SAM admitted to OTP during the reporting period</t>
  </si>
  <si>
    <t>NUT_TX-U5MN__MAM</t>
  </si>
  <si>
    <t>Admission and treatment outcome for management of MAM for childern 6-59 months</t>
  </si>
  <si>
    <t>Total MAM at the beginning of the month</t>
  </si>
  <si>
    <t>NUT_TX-U5MN_SAM_US_TSFP_8.</t>
  </si>
  <si>
    <t>MAM_Number of children unknown status</t>
  </si>
  <si>
    <t>Number of children who exit from MAM treatment during the reporting period</t>
  </si>
  <si>
    <t>x</t>
  </si>
  <si>
    <t>Number of children less than 2 years weighted during GMP session</t>
  </si>
  <si>
    <t>NTR_GMP. 1</t>
  </si>
  <si>
    <t>NTR_GMP. 2</t>
  </si>
  <si>
    <t>NTR_GMP_MM</t>
  </si>
  <si>
    <t>Number of weights recorded with moderate malnutrition by age (Z score b/n -2 &amp; -3): Moderate Underweight</t>
  </si>
  <si>
    <t>NTR_GMP_MM. 1</t>
  </si>
  <si>
    <t>NTR_GMP_MM. 2</t>
  </si>
  <si>
    <t>GMP_SM</t>
  </si>
  <si>
    <t>Number of weights recorded with severe malnutrition by age ( Z score below -3): Severely underweight</t>
  </si>
  <si>
    <t>GMP_SM. 1</t>
  </si>
  <si>
    <t>GMP_SM. 2</t>
  </si>
  <si>
    <t>NUT_VITA.1</t>
  </si>
  <si>
    <r>
      <t xml:space="preserve">Total number of children aged 6-59 months who received Vitamin A supplementation dis aggregated </t>
    </r>
    <r>
      <rPr>
        <sz val="12"/>
        <color rgb="FF000000"/>
        <rFont val="Cambria"/>
        <family val="1"/>
      </rPr>
      <t>by age</t>
    </r>
  </si>
  <si>
    <t>NUT_VITA.1.1</t>
  </si>
  <si>
    <t>Age: 6 – 11 months</t>
  </si>
  <si>
    <t>NUT_VITA.1.2</t>
  </si>
  <si>
    <t>Age: 12 – 59 Months</t>
  </si>
  <si>
    <t>NUT_VITA.2.1</t>
  </si>
  <si>
    <t>:First dose</t>
  </si>
  <si>
    <t>NUT_VITA.2.2</t>
  </si>
  <si>
    <t>:Second dose</t>
  </si>
  <si>
    <t>Total number of PLW screened for acute malnutrition</t>
  </si>
  <si>
    <t>PLW_S4AM. 1</t>
  </si>
  <si>
    <t>PLW_S4AM. 2</t>
  </si>
  <si>
    <t>NUT_U5SMN.1</t>
  </si>
  <si>
    <t>Total number of children &lt;5yrs screened for acute malnutrition</t>
  </si>
  <si>
    <t>NUT_U5SMN.1.1</t>
  </si>
  <si>
    <t>NUT_U5SMN.1.2</t>
  </si>
  <si>
    <t>NUT_U5SMN.1.3</t>
  </si>
  <si>
    <t>24 - 59 months</t>
  </si>
  <si>
    <t>Number of children &lt;5 year screened and have moderate acute malnutrition</t>
  </si>
  <si>
    <t>NUT_U5SMN.MAM.1.1</t>
  </si>
  <si>
    <t>NUT_U5SMN.MAM.1.2</t>
  </si>
  <si>
    <t>NUT_U5SMN.MAM.1.3</t>
  </si>
  <si>
    <t>NUT_TX-U5MN_SAM_Beging_SC_1</t>
  </si>
  <si>
    <t>Total SAM at the beginning of the month</t>
  </si>
  <si>
    <t>NUT_TX-U5MN_SAM_Beging_SC_1.1</t>
  </si>
  <si>
    <t>Age: 0 – 5 Months</t>
  </si>
  <si>
    <t>NUT_TX-U5MN_SAM_Beging_SC_1.2</t>
  </si>
  <si>
    <t>Age: 6 - 23 Months</t>
  </si>
  <si>
    <t>NUT_TX-U5MN_SAM_Beging_SC_1.3</t>
  </si>
  <si>
    <t>Age: 24 - 59 Months</t>
  </si>
  <si>
    <t>NUT_TX-U5MN_SAM_Adt_SC_2</t>
  </si>
  <si>
    <t>Total number of children with SAM admitted to SC during the reporting period(new and re-admision)</t>
  </si>
  <si>
    <t>NUT_TX-U5MN_SAM__Adt_SC_2.1</t>
  </si>
  <si>
    <t>NUT_TX-U5MN_SAM__Adt_SC_2.2</t>
  </si>
  <si>
    <t>NUT_TX-U5MN_SAM__Adt_SC_2.3</t>
  </si>
  <si>
    <t>NUT_TX-U5MN_SAM_Stab_SC_3</t>
  </si>
  <si>
    <t>Number of children stablized</t>
  </si>
  <si>
    <t>NUT_TX-U5MN_SAM_Stab_SC_3.1</t>
  </si>
  <si>
    <t>NUT_TX-U5MN_SAM_Stab_SC_3.2</t>
  </si>
  <si>
    <t>NUT_TX-U5MN_SAM_Stab_SC_3.3</t>
  </si>
  <si>
    <t>NUT_TX-U5MN_SAM_Cur_SC_ 4</t>
  </si>
  <si>
    <t>Number of children cured</t>
  </si>
  <si>
    <t>NUT_TX-U5MN_SAM_Cur_SC_ 4.1</t>
  </si>
  <si>
    <t>NUT_TX-U5MN_SAM_Cur_SC_ 4.2</t>
  </si>
  <si>
    <t>NUT_TX-U5MN_SAM_Cur_SC_ 4.3</t>
  </si>
  <si>
    <t>NUT_TX-U5MN_SAM_died_SC_5</t>
  </si>
  <si>
    <t>Number of children died</t>
  </si>
  <si>
    <t>NUT_TX-U5MN_SAM_died_SC_5.1</t>
  </si>
  <si>
    <t>NUT_TX-U5MN_SAM_died_SC_5.2</t>
  </si>
  <si>
    <t>NUT_TX-U5MN_SAM_died_SC_5.3</t>
  </si>
  <si>
    <t>NUT_TX-U5MN_SAM_TO_SC_6</t>
  </si>
  <si>
    <t>Number of children transferred out</t>
  </si>
  <si>
    <t>NUT_TX-U5MN_SAM_TO_SC_6.1</t>
  </si>
  <si>
    <t>NUT_TX-U5MN_SAM_TO_SC_6.2</t>
  </si>
  <si>
    <t>NUT_TX-U5MN_SAM_TO_SC_6.3</t>
  </si>
  <si>
    <t>NUT_TX-U5MN_SAM_Def_SC_7</t>
  </si>
  <si>
    <t>Number of children defaulted</t>
  </si>
  <si>
    <t>NUT_TX-U5MN_SAM_Def_SC_7.1</t>
  </si>
  <si>
    <t>NUT_TX-U5MN_SAM_Def_SC_7.2</t>
  </si>
  <si>
    <t>NUT_TX-U5MN_SAM_Def_SC_7.3</t>
  </si>
  <si>
    <t>NUT_TX-U5MN_SAM_NR_SC_8</t>
  </si>
  <si>
    <t>Number of children -non-respondent</t>
  </si>
  <si>
    <t>NUT_TX-U5MN_SAM_NR_SC_8.1</t>
  </si>
  <si>
    <t>NUT_TX-U5MN_SAM_NR_SC_8.2</t>
  </si>
  <si>
    <t>NUT_TX-U5MN_SAM_NR_SC_8.3</t>
  </si>
  <si>
    <t>NUT_TX-U5MN_SAM_Ext_SC_9</t>
  </si>
  <si>
    <t>Number of children who exit from severe acute malnutrition treatment during the reporting period</t>
  </si>
  <si>
    <t>NUT_TX-U5MN_SAM_Ext_SC_9.1</t>
  </si>
  <si>
    <t>NUT_TX-U5MN_SAM_Ext_SC_9.2</t>
  </si>
  <si>
    <t>NUT_TX-U5MN_SAM_Ext_SC_9.3</t>
  </si>
  <si>
    <t>Total number of children with MAM admitted to TSFP/IMAM during the reporting period</t>
  </si>
  <si>
    <t>NUT_TX-U5MN_MAM</t>
  </si>
  <si>
    <t>Admission and treatment outcome for management of MAM in PLW</t>
  </si>
  <si>
    <t>Total number of PLW with MAM admitted to TSFP/IMAM during the reporting period</t>
  </si>
  <si>
    <t>Number of plw cured</t>
  </si>
  <si>
    <t>Number of plw died</t>
  </si>
  <si>
    <t>Number of plw transferred out</t>
  </si>
  <si>
    <t>NUT_TX-U5MN_.Def_TSFP_4</t>
  </si>
  <si>
    <t>Number of plw defaulted</t>
  </si>
  <si>
    <t>NUT_TX-U5MN_MAM_.NR_TSFP_5</t>
  </si>
  <si>
    <t>Number of plw -non-respondent</t>
  </si>
  <si>
    <t>Number of PLW who exit from MAM treatment during the reporting period</t>
  </si>
  <si>
    <t>NUT_LBW=sum</t>
  </si>
  <si>
    <t>NTR_GMP_1=sum</t>
  </si>
  <si>
    <t>NUT_GMP_MM_1=sum</t>
  </si>
  <si>
    <t>NUT_VITA_2=sum</t>
  </si>
  <si>
    <t>NUT_DeW_1=sum</t>
  </si>
  <si>
    <t>NUT_IFA_1=sum</t>
  </si>
  <si>
    <t>NUT_PreSMN_1=sum</t>
  </si>
  <si>
    <t>NUT_PreSMN_2=sum</t>
  </si>
  <si>
    <t>NUT_U5SMN=sum</t>
  </si>
  <si>
    <t>NUT_U5SMN_MAM_1=sum</t>
  </si>
  <si>
    <t>NUT_U5SMN_SAM_1=sum</t>
  </si>
  <si>
    <t>NTR_GMP=sum</t>
  </si>
  <si>
    <t>NTR_GMP_MM=sum</t>
  </si>
  <si>
    <t>GMP_SM=sum</t>
  </si>
  <si>
    <t>NUT_VITA_1=sum</t>
  </si>
  <si>
    <t>PLW_S4AM=sum</t>
  </si>
  <si>
    <t>NUT_TX_U5MN_SAM_Beging_SC_1=sum</t>
  </si>
  <si>
    <t>NUT_TX_U5MN_SAM_Adt_SC_2=sum</t>
  </si>
  <si>
    <t>NUT_TX_U5MN_SAM_Stab_SC_3=sum</t>
  </si>
  <si>
    <t>NUT_TX_U5MN_SAM_Cur_SC_4=sum</t>
  </si>
  <si>
    <t>NUT_TX_U5MN_SAM_died_SC_5=sum</t>
  </si>
  <si>
    <t>NUT_TX_U5MN_SAM_TO_SC_6=sum</t>
  </si>
  <si>
    <t>NUT_TX_U5MN_SAM_Def_SC_7=sum</t>
  </si>
  <si>
    <t>NUT_TX_U5MN_SAM_NR_SC_8=sum</t>
  </si>
  <si>
    <t>NUT_TX_U5MN_SAM_Ext_SC_9=sum</t>
  </si>
  <si>
    <t>OTP Number of children cured</t>
  </si>
  <si>
    <t>OTP Number of children died</t>
  </si>
  <si>
    <t>OTP Number of children transferred out</t>
  </si>
  <si>
    <t>OTP Number of children defaulted</t>
  </si>
  <si>
    <t>OTP Number of children -non-respondent</t>
  </si>
  <si>
    <t>OTP Number of children who exit from severe acute malnutrition treatment during the reporting period</t>
  </si>
  <si>
    <t>TSFP Number of children cured</t>
  </si>
  <si>
    <t>TSFP Number of children died</t>
  </si>
  <si>
    <t>TSFP Number of children transferred out</t>
  </si>
  <si>
    <t>TSFP Number of children defaulted</t>
  </si>
  <si>
    <t>TSFP Number of children -non-respondent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</si>
</sst>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1C2126"/>
      <name val="Nunito Sans"/>
    </font>
    <font>
      <b/>
      <sz val="11"/>
      <color theme="1"/>
      <name val="Calibri"/>
      <family val="2"/>
      <scheme val="minor"/>
    </font>
    <font>
      <sz val="12"/>
      <color rgb="FF1C2126"/>
      <name val="Nunito Sans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0"/>
      <color theme="1"/>
      <name val="Courier New"/>
      <family val="3"/>
    </font>
    <font>
      <sz val="10"/>
      <color theme="1"/>
      <name val="Courier New"/>
      <family val="3"/>
    </font>
    <font>
      <sz val="12"/>
      <color theme="1"/>
      <name val="Cambria"/>
      <family val="1"/>
    </font>
    <font>
      <b/>
      <sz val="9"/>
      <color rgb="FF000000"/>
      <name val="Arial"/>
      <family val="2"/>
    </font>
    <font>
      <sz val="12"/>
      <color rgb="FF000000"/>
      <name val="Cambria"/>
      <family val="1"/>
    </font>
    <font>
      <sz val="9"/>
      <color theme="1"/>
      <name val="Verdana"/>
      <family val="2"/>
    </font>
    <font>
      <b/>
      <sz val="12"/>
      <color theme="1"/>
      <name val="Courier New"/>
      <family val="3"/>
    </font>
    <font>
      <sz val="11"/>
      <name val="Calibri"/>
      <family val="2"/>
      <scheme val="minor"/>
    </font>
    <font>
      <b/>
      <sz val="9"/>
      <name val="Arial"/>
      <family val="2"/>
    </font>
    <font>
      <sz val="12"/>
      <name val="Nunito Sans"/>
    </font>
    <font>
      <b/>
      <sz val="10"/>
      <name val="Courier New"/>
      <family val="3"/>
    </font>
    <font>
      <sz val="10"/>
      <name val="Courier New"/>
      <family val="3"/>
    </font>
    <font>
      <sz val="9"/>
      <name val="Verdana"/>
      <family val="2"/>
    </font>
    <font>
      <sz val="12"/>
      <name val="Cambria"/>
      <family val="1"/>
    </font>
  </fonts>
  <fills count="1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DDDDDD"/>
      </left>
      <right style="thick">
        <color rgb="FFDDDDDD"/>
      </right>
      <top style="thick">
        <color rgb="FFDDDDDD"/>
      </top>
      <bottom style="thick">
        <color rgb="FFDDDDDD"/>
      </bottom>
      <diagonal/>
    </border>
    <border>
      <left style="medium">
        <color rgb="FFCCCCCC"/>
      </left>
      <right style="thick">
        <color rgb="FFDDDDDD"/>
      </right>
      <top style="thick">
        <color rgb="FFDDDDDD"/>
      </top>
      <bottom style="thick">
        <color rgb="FFDDDDDD"/>
      </bottom>
      <diagonal/>
    </border>
    <border>
      <left style="thick">
        <color rgb="FFDDDDDD"/>
      </left>
      <right style="thick">
        <color rgb="FFDDDDDD"/>
      </right>
      <top style="medium">
        <color rgb="FFCCCCCC"/>
      </top>
      <bottom style="thick">
        <color rgb="FFDDDDDD"/>
      </bottom>
      <diagonal/>
    </border>
    <border>
      <left style="medium">
        <color rgb="FFCCCCCC"/>
      </left>
      <right style="thick">
        <color rgb="FFDDDDDD"/>
      </right>
      <top style="medium">
        <color rgb="FFCCCCCC"/>
      </top>
      <bottom style="thick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/>
      <right style="medium">
        <color rgb="FFC0C0C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C0C0C0"/>
      </bottom>
      <diagonal/>
    </border>
    <border>
      <left style="medium">
        <color rgb="FFC0C0C0"/>
      </left>
      <right style="medium">
        <color rgb="FFC0C0C0"/>
      </right>
      <top/>
      <bottom style="medium">
        <color rgb="FFC0C0C0"/>
      </bottom>
      <diagonal/>
    </border>
    <border>
      <left/>
      <right style="medium">
        <color rgb="FFC0C0C0"/>
      </right>
      <top/>
      <bottom style="medium">
        <color rgb="FFC0C0C0"/>
      </bottom>
      <diagonal/>
    </border>
    <border>
      <left style="medium">
        <color rgb="FFC0C0C0"/>
      </left>
      <right/>
      <top/>
      <bottom style="medium">
        <color rgb="FFC0C0C0"/>
      </bottom>
      <diagonal/>
    </border>
    <border>
      <left style="medium">
        <color rgb="FFC0C0C0"/>
      </left>
      <right style="medium">
        <color rgb="FFC0C0C0"/>
      </right>
      <top/>
      <bottom/>
      <diagonal/>
    </border>
  </borders>
  <cellStyleXfs count="1">
    <xf numFmtId="0" fontId="0" fillId="0" borderId="0"/>
  </cellStyleXfs>
  <cellXfs count="76">
    <xf numFmtId="0" fontId="0" fillId="0" borderId="0" xfId="0"/>
    <xf numFmtId="0" fontId="1" fillId="0" borderId="1" xfId="0" applyFont="1" applyBorder="1" applyAlignment="1">
      <alignment wrapText="1"/>
    </xf>
    <xf numFmtId="0" fontId="2" fillId="3" borderId="2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vertical="center" wrapText="1"/>
    </xf>
    <xf numFmtId="0" fontId="0" fillId="0" borderId="1" xfId="0" applyBorder="1" applyAlignment="1">
      <alignment wrapText="1"/>
    </xf>
    <xf numFmtId="0" fontId="3" fillId="4" borderId="4" xfId="0" applyFont="1" applyFill="1" applyBorder="1" applyAlignment="1">
      <alignment vertical="center" wrapText="1"/>
    </xf>
    <xf numFmtId="0" fontId="3" fillId="4" borderId="5" xfId="0" applyFont="1" applyFill="1" applyBorder="1" applyAlignment="1">
      <alignment vertical="center" wrapText="1"/>
    </xf>
    <xf numFmtId="0" fontId="4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0" fillId="7" borderId="0" xfId="0" applyFill="1"/>
    <xf numFmtId="0" fontId="0" fillId="8" borderId="0" xfId="0" applyFill="1" applyAlignment="1">
      <alignment wrapText="1"/>
    </xf>
    <xf numFmtId="0" fontId="5" fillId="7" borderId="0" xfId="0" applyFont="1" applyFill="1"/>
    <xf numFmtId="0" fontId="5" fillId="8" borderId="0" xfId="0" applyFont="1" applyFill="1" applyAlignment="1">
      <alignment wrapText="1"/>
    </xf>
    <xf numFmtId="0" fontId="6" fillId="2" borderId="0" xfId="0" applyFont="1" applyFill="1" applyAlignment="1">
      <alignment vertical="top" wrapText="1"/>
    </xf>
    <xf numFmtId="0" fontId="0" fillId="9" borderId="0" xfId="0" applyFill="1" applyAlignment="1">
      <alignment wrapText="1"/>
    </xf>
    <xf numFmtId="0" fontId="0" fillId="10" borderId="0" xfId="0" applyFill="1" applyAlignment="1">
      <alignment wrapText="1"/>
    </xf>
    <xf numFmtId="0" fontId="0" fillId="10" borderId="0" xfId="0" applyFill="1"/>
    <xf numFmtId="0" fontId="4" fillId="2" borderId="1" xfId="0" applyFont="1" applyFill="1" applyBorder="1" applyAlignment="1">
      <alignment vertical="center"/>
    </xf>
    <xf numFmtId="0" fontId="7" fillId="4" borderId="6" xfId="0" applyFont="1" applyFill="1" applyBorder="1" applyAlignment="1">
      <alignment vertical="center" wrapText="1"/>
    </xf>
    <xf numFmtId="0" fontId="0" fillId="4" borderId="7" xfId="0" applyFill="1" applyBorder="1" applyAlignment="1">
      <alignment vertical="center" wrapText="1"/>
    </xf>
    <xf numFmtId="0" fontId="7" fillId="4" borderId="7" xfId="0" applyFont="1" applyFill="1" applyBorder="1" applyAlignment="1">
      <alignment vertical="center" wrapText="1"/>
    </xf>
    <xf numFmtId="0" fontId="8" fillId="6" borderId="8" xfId="0" applyFont="1" applyFill="1" applyBorder="1" applyAlignment="1">
      <alignment vertical="center" wrapText="1"/>
    </xf>
    <xf numFmtId="0" fontId="0" fillId="6" borderId="9" xfId="0" applyFill="1" applyBorder="1" applyAlignment="1">
      <alignment vertical="center" wrapText="1"/>
    </xf>
    <xf numFmtId="0" fontId="8" fillId="6" borderId="9" xfId="0" applyFont="1" applyFill="1" applyBorder="1" applyAlignment="1">
      <alignment vertical="center" wrapText="1"/>
    </xf>
    <xf numFmtId="0" fontId="7" fillId="4" borderId="8" xfId="0" applyFont="1" applyFill="1" applyBorder="1" applyAlignment="1">
      <alignment vertical="center" wrapText="1"/>
    </xf>
    <xf numFmtId="0" fontId="0" fillId="4" borderId="9" xfId="0" applyFill="1" applyBorder="1" applyAlignment="1">
      <alignment vertical="center" wrapText="1"/>
    </xf>
    <xf numFmtId="0" fontId="7" fillId="4" borderId="9" xfId="0" applyFont="1" applyFill="1" applyBorder="1" applyAlignment="1">
      <alignment vertical="center" wrapText="1"/>
    </xf>
    <xf numFmtId="0" fontId="7" fillId="5" borderId="8" xfId="0" applyFont="1" applyFill="1" applyBorder="1" applyAlignment="1">
      <alignment vertical="center" wrapText="1"/>
    </xf>
    <xf numFmtId="0" fontId="7" fillId="5" borderId="9" xfId="0" applyFont="1" applyFill="1" applyBorder="1" applyAlignment="1">
      <alignment vertical="center" wrapText="1"/>
    </xf>
    <xf numFmtId="0" fontId="7" fillId="5" borderId="9" xfId="0" applyFont="1" applyFill="1" applyBorder="1" applyAlignment="1">
      <alignment horizontal="center" vertical="center" wrapText="1"/>
    </xf>
    <xf numFmtId="0" fontId="14" fillId="6" borderId="15" xfId="0" applyFont="1" applyFill="1" applyBorder="1" applyAlignment="1">
      <alignment vertical="center" wrapText="1"/>
    </xf>
    <xf numFmtId="0" fontId="10" fillId="6" borderId="11" xfId="0" applyFont="1" applyFill="1" applyBorder="1" applyAlignment="1">
      <alignment wrapText="1"/>
    </xf>
    <xf numFmtId="0" fontId="0" fillId="6" borderId="0" xfId="0" applyFill="1"/>
    <xf numFmtId="0" fontId="9" fillId="6" borderId="12" xfId="0" applyFont="1" applyFill="1" applyBorder="1" applyAlignment="1">
      <alignment wrapText="1"/>
    </xf>
    <xf numFmtId="0" fontId="7" fillId="11" borderId="16" xfId="0" applyFont="1" applyFill="1" applyBorder="1" applyAlignment="1">
      <alignment vertical="center" wrapText="1"/>
    </xf>
    <xf numFmtId="0" fontId="9" fillId="11" borderId="11" xfId="0" applyFont="1" applyFill="1" applyBorder="1" applyAlignment="1">
      <alignment wrapText="1"/>
    </xf>
    <xf numFmtId="0" fontId="0" fillId="11" borderId="0" xfId="0" applyFill="1"/>
    <xf numFmtId="0" fontId="14" fillId="6" borderId="13" xfId="0" applyFont="1" applyFill="1" applyBorder="1" applyAlignment="1">
      <alignment vertical="center" wrapText="1"/>
    </xf>
    <xf numFmtId="0" fontId="7" fillId="4" borderId="14" xfId="0" applyFont="1" applyFill="1" applyBorder="1" applyAlignment="1">
      <alignment vertical="center" wrapText="1"/>
    </xf>
    <xf numFmtId="0" fontId="7" fillId="4" borderId="15" xfId="0" applyFont="1" applyFill="1" applyBorder="1" applyAlignment="1">
      <alignment vertical="center" wrapText="1"/>
    </xf>
    <xf numFmtId="0" fontId="0" fillId="4" borderId="0" xfId="0" applyFill="1"/>
    <xf numFmtId="0" fontId="7" fillId="4" borderId="13" xfId="0" applyFont="1" applyFill="1" applyBorder="1" applyAlignment="1">
      <alignment vertical="center" wrapText="1"/>
    </xf>
    <xf numFmtId="0" fontId="9" fillId="4" borderId="0" xfId="0" applyFont="1" applyFill="1" applyAlignment="1">
      <alignment vertical="center" wrapText="1"/>
    </xf>
    <xf numFmtId="0" fontId="9" fillId="4" borderId="13" xfId="0" applyFont="1" applyFill="1" applyBorder="1" applyAlignment="1">
      <alignment vertical="center" wrapText="1"/>
    </xf>
    <xf numFmtId="0" fontId="9" fillId="4" borderId="15" xfId="0" applyFont="1" applyFill="1" applyBorder="1" applyAlignment="1">
      <alignment vertical="center" wrapText="1"/>
    </xf>
    <xf numFmtId="0" fontId="9" fillId="4" borderId="14" xfId="0" applyFont="1" applyFill="1" applyBorder="1" applyAlignment="1">
      <alignment vertical="center" wrapText="1"/>
    </xf>
    <xf numFmtId="0" fontId="15" fillId="4" borderId="13" xfId="0" applyFont="1" applyFill="1" applyBorder="1" applyAlignment="1">
      <alignment vertical="center" wrapText="1"/>
    </xf>
    <xf numFmtId="0" fontId="10" fillId="4" borderId="15" xfId="0" applyFont="1" applyFill="1" applyBorder="1" applyAlignment="1">
      <alignment vertical="center" wrapText="1"/>
    </xf>
    <xf numFmtId="0" fontId="9" fillId="4" borderId="17" xfId="0" applyFont="1" applyFill="1" applyBorder="1" applyAlignment="1">
      <alignment vertical="center" wrapText="1"/>
    </xf>
    <xf numFmtId="0" fontId="9" fillId="4" borderId="10" xfId="0" applyFont="1" applyFill="1" applyBorder="1" applyAlignment="1">
      <alignment vertical="center" wrapText="1"/>
    </xf>
    <xf numFmtId="0" fontId="11" fillId="4" borderId="13" xfId="0" applyFont="1" applyFill="1" applyBorder="1" applyAlignment="1">
      <alignment vertical="center" wrapText="1"/>
    </xf>
    <xf numFmtId="0" fontId="14" fillId="4" borderId="15" xfId="0" applyFont="1" applyFill="1" applyBorder="1" applyAlignment="1">
      <alignment vertical="center" wrapText="1"/>
    </xf>
    <xf numFmtId="0" fontId="9" fillId="4" borderId="12" xfId="0" applyFont="1" applyFill="1" applyBorder="1" applyAlignment="1">
      <alignment wrapText="1"/>
    </xf>
    <xf numFmtId="0" fontId="9" fillId="4" borderId="11" xfId="0" applyFont="1" applyFill="1" applyBorder="1" applyAlignment="1">
      <alignment wrapText="1"/>
    </xf>
    <xf numFmtId="0" fontId="12" fillId="4" borderId="13" xfId="0" applyFont="1" applyFill="1" applyBorder="1" applyAlignment="1">
      <alignment vertical="center" wrapText="1"/>
    </xf>
    <xf numFmtId="0" fontId="16" fillId="12" borderId="0" xfId="0" applyFont="1" applyFill="1"/>
    <xf numFmtId="0" fontId="16" fillId="0" borderId="1" xfId="0" applyFont="1" applyBorder="1" applyAlignment="1">
      <alignment wrapText="1"/>
    </xf>
    <xf numFmtId="0" fontId="18" fillId="0" borderId="0" xfId="0" applyFont="1" applyAlignment="1">
      <alignment vertical="top" wrapText="1"/>
    </xf>
    <xf numFmtId="0" fontId="16" fillId="0" borderId="0" xfId="0" applyFont="1"/>
    <xf numFmtId="0" fontId="3" fillId="0" borderId="5" xfId="0" applyFont="1" applyBorder="1" applyAlignment="1">
      <alignment vertical="center" wrapText="1"/>
    </xf>
    <xf numFmtId="0" fontId="3" fillId="0" borderId="5" xfId="0" applyFont="1" applyBorder="1" applyAlignment="1">
      <alignment horizontal="center" vertical="center" wrapText="1"/>
    </xf>
    <xf numFmtId="0" fontId="0" fillId="0" borderId="5" xfId="0" applyBorder="1" applyAlignment="1">
      <alignment vertical="center" wrapText="1"/>
    </xf>
    <xf numFmtId="0" fontId="17" fillId="0" borderId="14" xfId="0" applyFont="1" applyBorder="1" applyAlignment="1">
      <alignment vertical="center" wrapText="1"/>
    </xf>
    <xf numFmtId="0" fontId="21" fillId="0" borderId="15" xfId="0" applyFont="1" applyBorder="1" applyAlignment="1">
      <alignment vertical="center" wrapText="1"/>
    </xf>
    <xf numFmtId="0" fontId="17" fillId="0" borderId="15" xfId="0" applyFont="1" applyBorder="1" applyAlignment="1">
      <alignment vertical="center" wrapText="1"/>
    </xf>
    <xf numFmtId="0" fontId="19" fillId="0" borderId="15" xfId="0" applyFont="1" applyBorder="1" applyAlignment="1">
      <alignment vertical="center" wrapText="1"/>
    </xf>
    <xf numFmtId="0" fontId="20" fillId="0" borderId="15" xfId="0" applyFont="1" applyBorder="1" applyAlignment="1">
      <alignment vertical="center" wrapText="1"/>
    </xf>
    <xf numFmtId="0" fontId="19" fillId="0" borderId="17" xfId="0" applyFont="1" applyBorder="1" applyAlignment="1">
      <alignment vertical="center" wrapText="1"/>
    </xf>
    <xf numFmtId="0" fontId="19" fillId="0" borderId="10" xfId="0" applyFont="1" applyBorder="1" applyAlignment="1">
      <alignment vertical="center" wrapText="1"/>
    </xf>
    <xf numFmtId="0" fontId="22" fillId="0" borderId="13" xfId="0" applyFont="1" applyBorder="1" applyAlignment="1">
      <alignment vertical="center" wrapText="1"/>
    </xf>
    <xf numFmtId="0" fontId="8" fillId="4" borderId="6" xfId="0" applyFont="1" applyFill="1" applyBorder="1" applyAlignment="1">
      <alignment vertical="center" wrapText="1"/>
    </xf>
    <xf numFmtId="0" fontId="8" fillId="4" borderId="7" xfId="0" applyFont="1" applyFill="1" applyBorder="1" applyAlignment="1">
      <alignment vertical="center" wrapText="1"/>
    </xf>
    <xf numFmtId="0" fontId="8" fillId="0" borderId="6" xfId="0" applyFont="1" applyBorder="1" applyAlignment="1">
      <alignment vertical="center" wrapText="1"/>
    </xf>
    <xf numFmtId="0" fontId="8" fillId="0" borderId="7" xfId="0" applyFont="1" applyBorder="1" applyAlignment="1">
      <alignment vertical="center" wrapText="1"/>
    </xf>
    <xf numFmtId="0" fontId="0" fillId="4" borderId="1" xfId="0" applyFill="1" applyBorder="1" applyAlignment="1">
      <alignment wrapText="1"/>
    </xf>
    <xf numFmtId="0" fontId="0" fillId="4" borderId="0" xfId="0" applyFill="1" applyAlignment="1">
      <alignment wrapText="1"/>
    </xf>
  </cellXfs>
  <cellStyles count="1"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CCCC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A9D80-68BD-4B4C-872D-632ACDC8508E}">
  <sheetPr codeName="Sheet1"/>
  <dimension ref="A1:G603"/>
  <sheetViews>
    <sheetView topLeftCell="A423" workbookViewId="0">
      <selection activeCell="B427" sqref="B427"/>
    </sheetView>
  </sheetViews>
  <sheetFormatPr defaultRowHeight="15" x14ac:dyDescent="0.25"/>
  <cols>
    <col min="1" max="1" width="13.85546875" customWidth="1"/>
    <col min="2" max="2" width="59.140625" bestFit="1" customWidth="1"/>
    <col min="3" max="3" width="38.5703125" customWidth="1"/>
  </cols>
  <sheetData>
    <row r="1" spans="1:7" ht="15.75" thickBot="1" x14ac:dyDescent="0.3">
      <c r="A1" t="s">
        <v>375</v>
      </c>
      <c r="B1" s="1" t="s">
        <v>0</v>
      </c>
      <c r="C1" s="1" t="s">
        <v>1</v>
      </c>
    </row>
    <row r="2" spans="1:7" ht="39" x14ac:dyDescent="0.25">
      <c r="A2">
        <v>1</v>
      </c>
      <c r="B2" s="13" t="s">
        <v>385</v>
      </c>
      <c r="C2" s="13" t="s">
        <v>386</v>
      </c>
      <c r="D2" t="s">
        <v>1162</v>
      </c>
      <c r="E2" t="e">
        <f>VLOOKUP(B2,'working space'!F:F,1,FALSE)</f>
        <v>#N/A</v>
      </c>
      <c r="F2" t="e">
        <f>VLOOKUP(B2,Temp!D:D,1,FALSE)</f>
        <v>#N/A</v>
      </c>
      <c r="G2" t="e">
        <f>VLOOKUP(B2,Temp!D:D,1,FALSE)</f>
        <v>#N/A</v>
      </c>
    </row>
    <row r="3" spans="1:7" ht="58.5" x14ac:dyDescent="0.25">
      <c r="A3">
        <v>2</v>
      </c>
      <c r="B3" s="13" t="s">
        <v>264</v>
      </c>
      <c r="C3" s="13" t="s">
        <v>265</v>
      </c>
      <c r="D3" t="s">
        <v>1162</v>
      </c>
      <c r="E3" t="s">
        <v>1306</v>
      </c>
      <c r="F3" t="str">
        <f>VLOOKUP(B3,Temp!D:D,1,FALSE)</f>
        <v>Number_of_children_less_than_2_yr_weighted_during_GMP_session</v>
      </c>
      <c r="G3" t="str">
        <f>VLOOKUP(B3,Temp!D:D,1,FALSE)</f>
        <v>Number_of_children_less_than_2_yr_weighted_during_GMP_session</v>
      </c>
    </row>
    <row r="4" spans="1:7" ht="97.5" x14ac:dyDescent="0.25">
      <c r="A4">
        <v>3</v>
      </c>
      <c r="B4" s="13" t="s">
        <v>266</v>
      </c>
      <c r="C4" s="13" t="s">
        <v>267</v>
      </c>
      <c r="D4" t="s">
        <v>1162</v>
      </c>
      <c r="E4" t="e">
        <f>VLOOKUP(B4,'working space'!F:F,1,FALSE)</f>
        <v>#N/A</v>
      </c>
      <c r="F4" t="e">
        <f>VLOOKUP(B4,Temp!D:D,1,FALSE)</f>
        <v>#N/A</v>
      </c>
      <c r="G4" t="e">
        <f>VLOOKUP(B4,Temp!D:D,1,FALSE)</f>
        <v>#N/A</v>
      </c>
    </row>
    <row r="5" spans="1:7" ht="78" x14ac:dyDescent="0.25">
      <c r="A5">
        <v>4</v>
      </c>
      <c r="B5" s="13" t="s">
        <v>268</v>
      </c>
      <c r="C5" s="13" t="s">
        <v>269</v>
      </c>
      <c r="D5" t="s">
        <v>1162</v>
      </c>
      <c r="E5" t="e">
        <f>VLOOKUP(B5,'working space'!F:F,1,FALSE)</f>
        <v>#N/A</v>
      </c>
      <c r="F5" t="e">
        <f>VLOOKUP(B5,Temp!D:D,1,FALSE)</f>
        <v>#N/A</v>
      </c>
      <c r="G5" t="e">
        <f>VLOOKUP(B5,Temp!D:D,1,FALSE)</f>
        <v>#N/A</v>
      </c>
    </row>
    <row r="6" spans="1:7" ht="58.5" x14ac:dyDescent="0.25">
      <c r="A6">
        <v>5</v>
      </c>
      <c r="B6" s="13" t="s">
        <v>270</v>
      </c>
      <c r="C6" s="13" t="s">
        <v>271</v>
      </c>
      <c r="D6" t="s">
        <v>1162</v>
      </c>
      <c r="E6" t="e">
        <f>VLOOKUP(B6,'working space'!F:F,1,FALSE)</f>
        <v>#N/A</v>
      </c>
      <c r="F6" t="e">
        <f>VLOOKUP(B6,Temp!D:D,1,FALSE)</f>
        <v>#N/A</v>
      </c>
      <c r="G6" t="e">
        <f>VLOOKUP(B6,Temp!D:D,1,FALSE)</f>
        <v>#N/A</v>
      </c>
    </row>
    <row r="7" spans="1:7" ht="58.5" x14ac:dyDescent="0.25">
      <c r="A7">
        <v>6</v>
      </c>
      <c r="B7" s="13" t="s">
        <v>272</v>
      </c>
      <c r="C7" s="13" t="s">
        <v>273</v>
      </c>
      <c r="D7" t="s">
        <v>1162</v>
      </c>
      <c r="E7" t="e">
        <f>VLOOKUP(B7,'working space'!F:F,1,FALSE)</f>
        <v>#N/A</v>
      </c>
      <c r="F7" t="e">
        <f>VLOOKUP(B7,Temp!D:D,1,FALSE)</f>
        <v>#N/A</v>
      </c>
      <c r="G7" t="e">
        <f>VLOOKUP(B7,Temp!D:D,1,FALSE)</f>
        <v>#N/A</v>
      </c>
    </row>
    <row r="8" spans="1:7" ht="58.5" x14ac:dyDescent="0.25">
      <c r="A8">
        <v>7</v>
      </c>
      <c r="B8" s="13" t="s">
        <v>274</v>
      </c>
      <c r="C8" s="13" t="s">
        <v>275</v>
      </c>
      <c r="D8" t="s">
        <v>1162</v>
      </c>
      <c r="E8" t="e">
        <f>VLOOKUP(B8,'working space'!F:F,1,FALSE)</f>
        <v>#N/A</v>
      </c>
      <c r="F8" t="e">
        <f>VLOOKUP(B8,Temp!D:D,1,FALSE)</f>
        <v>#N/A</v>
      </c>
      <c r="G8" t="e">
        <f>VLOOKUP(B8,Temp!D:D,1,FALSE)</f>
        <v>#N/A</v>
      </c>
    </row>
    <row r="9" spans="1:7" ht="78" x14ac:dyDescent="0.25">
      <c r="A9">
        <v>8</v>
      </c>
      <c r="B9" s="13" t="s">
        <v>276</v>
      </c>
      <c r="C9" s="13" t="s">
        <v>277</v>
      </c>
      <c r="D9" t="s">
        <v>1162</v>
      </c>
      <c r="E9" t="e">
        <f>VLOOKUP(B9,'working space'!F:F,1,FALSE)</f>
        <v>#N/A</v>
      </c>
      <c r="F9" t="e">
        <f>VLOOKUP(B9,Temp!D:D,1,FALSE)</f>
        <v>#N/A</v>
      </c>
      <c r="G9" t="e">
        <f>VLOOKUP(B9,Temp!D:D,1,FALSE)</f>
        <v>#N/A</v>
      </c>
    </row>
    <row r="10" spans="1:7" ht="78" x14ac:dyDescent="0.25">
      <c r="A10">
        <v>9</v>
      </c>
      <c r="B10" s="13" t="s">
        <v>278</v>
      </c>
      <c r="C10" s="13" t="s">
        <v>279</v>
      </c>
      <c r="D10" t="s">
        <v>1162</v>
      </c>
      <c r="E10" t="e">
        <f>VLOOKUP(B10,'working space'!F:F,1,FALSE)</f>
        <v>#N/A</v>
      </c>
      <c r="F10" t="e">
        <f>VLOOKUP(B10,Temp!D:D,1,FALSE)</f>
        <v>#N/A</v>
      </c>
      <c r="G10" t="e">
        <f>VLOOKUP(B10,Temp!D:D,1,FALSE)</f>
        <v>#N/A</v>
      </c>
    </row>
    <row r="11" spans="1:7" ht="39" x14ac:dyDescent="0.25">
      <c r="A11">
        <v>10</v>
      </c>
      <c r="B11" s="13" t="s">
        <v>280</v>
      </c>
      <c r="C11" s="13" t="s">
        <v>281</v>
      </c>
      <c r="D11" t="s">
        <v>1162</v>
      </c>
      <c r="E11" t="e">
        <f>VLOOKUP(B11,'working space'!F:F,1,FALSE)</f>
        <v>#N/A</v>
      </c>
      <c r="F11" t="e">
        <f>VLOOKUP(B11,Temp!D:D,1,FALSE)</f>
        <v>#N/A</v>
      </c>
      <c r="G11" t="e">
        <f>VLOOKUP(B11,Temp!D:D,1,FALSE)</f>
        <v>#N/A</v>
      </c>
    </row>
    <row r="12" spans="1:7" ht="39" x14ac:dyDescent="0.25">
      <c r="A12">
        <v>11</v>
      </c>
      <c r="B12" s="13" t="s">
        <v>282</v>
      </c>
      <c r="C12" s="13" t="s">
        <v>283</v>
      </c>
      <c r="D12" t="s">
        <v>1162</v>
      </c>
      <c r="E12" t="e">
        <f>VLOOKUP(B12,'working space'!F:F,1,FALSE)</f>
        <v>#N/A</v>
      </c>
      <c r="F12" t="e">
        <f>VLOOKUP(B12,Temp!D:D,1,FALSE)</f>
        <v>#N/A</v>
      </c>
      <c r="G12" t="e">
        <f>VLOOKUP(B12,Temp!D:D,1,FALSE)</f>
        <v>#N/A</v>
      </c>
    </row>
    <row r="13" spans="1:7" ht="39" x14ac:dyDescent="0.25">
      <c r="A13">
        <v>12</v>
      </c>
      <c r="B13" s="13" t="s">
        <v>284</v>
      </c>
      <c r="C13" s="13" t="s">
        <v>285</v>
      </c>
      <c r="D13" t="s">
        <v>1162</v>
      </c>
      <c r="E13" t="e">
        <f>VLOOKUP(B13,'working space'!F:F,1,FALSE)</f>
        <v>#N/A</v>
      </c>
      <c r="F13" t="e">
        <f>VLOOKUP(B13,Temp!D:D,1,FALSE)</f>
        <v>#N/A</v>
      </c>
      <c r="G13" t="e">
        <f>VLOOKUP(B13,Temp!D:D,1,FALSE)</f>
        <v>#N/A</v>
      </c>
    </row>
    <row r="14" spans="1:7" ht="58.5" x14ac:dyDescent="0.25">
      <c r="A14">
        <v>13</v>
      </c>
      <c r="B14" s="13" t="s">
        <v>286</v>
      </c>
      <c r="C14" s="13" t="s">
        <v>287</v>
      </c>
      <c r="D14" t="s">
        <v>1162</v>
      </c>
      <c r="E14" t="e">
        <f>VLOOKUP(B14,'working space'!F:F,1,FALSE)</f>
        <v>#N/A</v>
      </c>
      <c r="F14" t="e">
        <f>VLOOKUP(B14,Temp!D:D,1,FALSE)</f>
        <v>#N/A</v>
      </c>
      <c r="G14" t="e">
        <f>VLOOKUP(B14,Temp!D:D,1,FALSE)</f>
        <v>#N/A</v>
      </c>
    </row>
    <row r="15" spans="1:7" ht="58.5" x14ac:dyDescent="0.25">
      <c r="A15">
        <v>14</v>
      </c>
      <c r="B15" s="13" t="s">
        <v>288</v>
      </c>
      <c r="C15" s="13" t="s">
        <v>289</v>
      </c>
      <c r="D15" t="s">
        <v>1162</v>
      </c>
      <c r="E15" t="e">
        <f>VLOOKUP(B15,'working space'!F:F,1,FALSE)</f>
        <v>#N/A</v>
      </c>
      <c r="F15" t="e">
        <f>VLOOKUP(B15,Temp!D:D,1,FALSE)</f>
        <v>#N/A</v>
      </c>
      <c r="G15" t="e">
        <f>VLOOKUP(B15,Temp!D:D,1,FALSE)</f>
        <v>#N/A</v>
      </c>
    </row>
    <row r="16" spans="1:7" ht="39" x14ac:dyDescent="0.25">
      <c r="A16">
        <v>15</v>
      </c>
      <c r="B16" s="13" t="s">
        <v>290</v>
      </c>
      <c r="C16" s="13" t="s">
        <v>291</v>
      </c>
      <c r="D16" t="s">
        <v>1163</v>
      </c>
      <c r="E16" t="e">
        <f>VLOOKUP(B16,'working space'!F:F,1,FALSE)</f>
        <v>#N/A</v>
      </c>
    </row>
    <row r="17" spans="1:5" ht="78" x14ac:dyDescent="0.25">
      <c r="A17">
        <v>16</v>
      </c>
      <c r="B17" s="13" t="s">
        <v>2</v>
      </c>
      <c r="C17" s="13" t="s">
        <v>3</v>
      </c>
      <c r="D17" t="e">
        <f>VLOOKUP(C17,Temp!A:B,2,FALSE)</f>
        <v>#N/A</v>
      </c>
      <c r="E17" t="e">
        <f>VLOOKUP(B17,'working space'!F:F,1,FALSE)</f>
        <v>#N/A</v>
      </c>
    </row>
    <row r="18" spans="1:5" ht="39" x14ac:dyDescent="0.25">
      <c r="A18">
        <v>17</v>
      </c>
      <c r="B18" s="13" t="s">
        <v>4</v>
      </c>
      <c r="C18" s="13" t="s">
        <v>5</v>
      </c>
      <c r="D18" t="s">
        <v>1221</v>
      </c>
      <c r="E18" t="e">
        <f>VLOOKUP(B18,'working space'!F:F,1,FALSE)</f>
        <v>#N/A</v>
      </c>
    </row>
    <row r="19" spans="1:5" ht="39" x14ac:dyDescent="0.25">
      <c r="A19">
        <v>18</v>
      </c>
      <c r="B19" s="13" t="s">
        <v>6</v>
      </c>
      <c r="C19" s="13" t="s">
        <v>7</v>
      </c>
      <c r="D19" t="s">
        <v>1222</v>
      </c>
      <c r="E19" t="e">
        <f>VLOOKUP(B19,'working space'!F:F,1,FALSE)</f>
        <v>#N/A</v>
      </c>
    </row>
    <row r="20" spans="1:5" ht="58.5" x14ac:dyDescent="0.25">
      <c r="A20">
        <v>19</v>
      </c>
      <c r="B20" s="13" t="s">
        <v>8</v>
      </c>
      <c r="C20" s="13" t="s">
        <v>9</v>
      </c>
      <c r="D20" t="s">
        <v>1223</v>
      </c>
      <c r="E20" t="e">
        <f>VLOOKUP(B20,'working space'!F:F,1,FALSE)</f>
        <v>#N/A</v>
      </c>
    </row>
    <row r="21" spans="1:5" ht="58.5" x14ac:dyDescent="0.25">
      <c r="A21">
        <v>20</v>
      </c>
      <c r="B21" s="13" t="s">
        <v>10</v>
      </c>
      <c r="C21" s="13" t="s">
        <v>11</v>
      </c>
      <c r="D21" t="s">
        <v>1223</v>
      </c>
      <c r="E21" t="e">
        <f>VLOOKUP(B21,'working space'!F:F,1,FALSE)</f>
        <v>#N/A</v>
      </c>
    </row>
    <row r="22" spans="1:5" ht="58.5" x14ac:dyDescent="0.25">
      <c r="A22">
        <v>21</v>
      </c>
      <c r="B22" s="13" t="s">
        <v>12</v>
      </c>
      <c r="C22" s="13" t="s">
        <v>13</v>
      </c>
      <c r="D22" t="s">
        <v>1223</v>
      </c>
      <c r="E22" t="e">
        <f>VLOOKUP(B22,'working space'!F:F,1,FALSE)</f>
        <v>#N/A</v>
      </c>
    </row>
    <row r="23" spans="1:5" ht="58.5" x14ac:dyDescent="0.25">
      <c r="A23">
        <v>22</v>
      </c>
      <c r="B23" s="13" t="s">
        <v>14</v>
      </c>
      <c r="C23" s="13" t="s">
        <v>15</v>
      </c>
      <c r="D23" t="e">
        <f>VLOOKUP(C23,Temp!A:B,2,FALSE)</f>
        <v>#N/A</v>
      </c>
      <c r="E23" t="e">
        <f>VLOOKUP(B23,'working space'!F:F,1,FALSE)</f>
        <v>#N/A</v>
      </c>
    </row>
    <row r="24" spans="1:5" ht="58.5" x14ac:dyDescent="0.25">
      <c r="A24">
        <v>23</v>
      </c>
      <c r="B24" s="13" t="s">
        <v>16</v>
      </c>
      <c r="C24" s="13" t="s">
        <v>17</v>
      </c>
      <c r="D24" t="e">
        <f>VLOOKUP(C24,Temp!A:B,2,FALSE)</f>
        <v>#N/A</v>
      </c>
      <c r="E24" t="e">
        <f>VLOOKUP(B24,'working space'!F:F,1,FALSE)</f>
        <v>#N/A</v>
      </c>
    </row>
    <row r="25" spans="1:5" ht="78" x14ac:dyDescent="0.25">
      <c r="A25">
        <v>24</v>
      </c>
      <c r="B25" s="13" t="s">
        <v>18</v>
      </c>
      <c r="C25" s="13" t="s">
        <v>19</v>
      </c>
      <c r="D25" t="e">
        <f>VLOOKUP(C25,Temp!A:B,2,FALSE)</f>
        <v>#N/A</v>
      </c>
      <c r="E25" t="e">
        <f>VLOOKUP(B25,'working space'!F:F,1,FALSE)</f>
        <v>#N/A</v>
      </c>
    </row>
    <row r="26" spans="1:5" ht="78" x14ac:dyDescent="0.25">
      <c r="A26">
        <v>25</v>
      </c>
      <c r="B26" s="13" t="s">
        <v>20</v>
      </c>
      <c r="C26" s="13" t="s">
        <v>21</v>
      </c>
      <c r="D26" t="e">
        <f>VLOOKUP(C26,Temp!A:B,2,FALSE)</f>
        <v>#N/A</v>
      </c>
      <c r="E26" t="e">
        <f>VLOOKUP(B26,'working space'!F:F,1,FALSE)</f>
        <v>#N/A</v>
      </c>
    </row>
    <row r="27" spans="1:5" ht="78" x14ac:dyDescent="0.25">
      <c r="A27">
        <v>26</v>
      </c>
      <c r="B27" s="13" t="s">
        <v>22</v>
      </c>
      <c r="C27" s="13" t="s">
        <v>23</v>
      </c>
      <c r="D27" t="e">
        <f>VLOOKUP(C27,Temp!A:B,2,FALSE)</f>
        <v>#N/A</v>
      </c>
      <c r="E27" t="e">
        <f>VLOOKUP(B27,'working space'!F:F,1,FALSE)</f>
        <v>#N/A</v>
      </c>
    </row>
    <row r="28" spans="1:5" ht="58.5" x14ac:dyDescent="0.25">
      <c r="A28">
        <v>27</v>
      </c>
      <c r="B28" s="13" t="s">
        <v>24</v>
      </c>
      <c r="C28" s="13" t="s">
        <v>25</v>
      </c>
      <c r="D28" t="e">
        <f>VLOOKUP(C28,Temp!A:B,2,FALSE)</f>
        <v>#N/A</v>
      </c>
      <c r="E28" t="e">
        <f>VLOOKUP(B28,'working space'!F:F,1,FALSE)</f>
        <v>#N/A</v>
      </c>
    </row>
    <row r="29" spans="1:5" ht="58.5" x14ac:dyDescent="0.25">
      <c r="A29">
        <v>28</v>
      </c>
      <c r="B29" s="13" t="s">
        <v>26</v>
      </c>
      <c r="C29" s="13" t="s">
        <v>27</v>
      </c>
      <c r="D29" t="e">
        <f>VLOOKUP(C29,Temp!A:B,2,FALSE)</f>
        <v>#N/A</v>
      </c>
      <c r="E29" t="e">
        <f>VLOOKUP(B29,'working space'!F:F,1,FALSE)</f>
        <v>#N/A</v>
      </c>
    </row>
    <row r="30" spans="1:5" ht="58.5" x14ac:dyDescent="0.25">
      <c r="A30">
        <v>29</v>
      </c>
      <c r="B30" s="13" t="s">
        <v>28</v>
      </c>
      <c r="C30" s="13" t="s">
        <v>29</v>
      </c>
      <c r="D30" t="e">
        <f>VLOOKUP(C30,Temp!A:B,2,FALSE)</f>
        <v>#N/A</v>
      </c>
      <c r="E30" t="e">
        <f>VLOOKUP(B30,'working space'!F:F,1,FALSE)</f>
        <v>#N/A</v>
      </c>
    </row>
    <row r="31" spans="1:5" ht="58.5" x14ac:dyDescent="0.25">
      <c r="A31">
        <v>30</v>
      </c>
      <c r="B31" s="13" t="s">
        <v>30</v>
      </c>
      <c r="C31" s="13" t="s">
        <v>31</v>
      </c>
      <c r="D31" t="e">
        <f>VLOOKUP(C31,Temp!A:B,2,FALSE)</f>
        <v>#N/A</v>
      </c>
      <c r="E31" t="e">
        <f>VLOOKUP(B31,'working space'!F:F,1,FALSE)</f>
        <v>#N/A</v>
      </c>
    </row>
    <row r="32" spans="1:5" ht="58.5" x14ac:dyDescent="0.25">
      <c r="A32">
        <v>31</v>
      </c>
      <c r="B32" s="13" t="s">
        <v>32</v>
      </c>
      <c r="C32" s="13" t="s">
        <v>33</v>
      </c>
      <c r="D32" t="e">
        <f>VLOOKUP(C32,Temp!A:B,2,FALSE)</f>
        <v>#N/A</v>
      </c>
      <c r="E32" t="e">
        <f>VLOOKUP(B32,'working space'!F:F,1,FALSE)</f>
        <v>#N/A</v>
      </c>
    </row>
    <row r="33" spans="1:5" ht="39" x14ac:dyDescent="0.25">
      <c r="A33">
        <v>32</v>
      </c>
      <c r="B33" s="13" t="s">
        <v>34</v>
      </c>
      <c r="C33" s="13" t="s">
        <v>35</v>
      </c>
      <c r="D33" t="e">
        <f>VLOOKUP(C33,Temp!A:B,2,FALSE)</f>
        <v>#N/A</v>
      </c>
      <c r="E33" t="e">
        <f>VLOOKUP(B33,'working space'!F:F,1,FALSE)</f>
        <v>#N/A</v>
      </c>
    </row>
    <row r="34" spans="1:5" ht="39" x14ac:dyDescent="0.25">
      <c r="A34">
        <v>33</v>
      </c>
      <c r="B34" s="13" t="s">
        <v>36</v>
      </c>
      <c r="C34" s="13" t="s">
        <v>37</v>
      </c>
      <c r="D34" t="e">
        <f>VLOOKUP(C34,Temp!A:B,2,FALSE)</f>
        <v>#N/A</v>
      </c>
      <c r="E34" t="e">
        <f>VLOOKUP(B34,'working space'!F:F,1,FALSE)</f>
        <v>#N/A</v>
      </c>
    </row>
    <row r="35" spans="1:5" ht="58.5" x14ac:dyDescent="0.25">
      <c r="A35">
        <v>34</v>
      </c>
      <c r="B35" s="13" t="s">
        <v>38</v>
      </c>
      <c r="C35" s="13" t="s">
        <v>39</v>
      </c>
      <c r="D35" t="e">
        <f>VLOOKUP(C35,Temp!A:B,2,FALSE)</f>
        <v>#N/A</v>
      </c>
      <c r="E35" t="e">
        <f>VLOOKUP(B35,'working space'!F:F,1,FALSE)</f>
        <v>#N/A</v>
      </c>
    </row>
    <row r="36" spans="1:5" ht="39" x14ac:dyDescent="0.25">
      <c r="A36">
        <v>35</v>
      </c>
      <c r="B36" s="13" t="s">
        <v>40</v>
      </c>
      <c r="C36" s="13" t="s">
        <v>41</v>
      </c>
      <c r="D36" t="s">
        <v>1223</v>
      </c>
      <c r="E36" t="e">
        <f>VLOOKUP(B36,'working space'!F:F,1,FALSE)</f>
        <v>#N/A</v>
      </c>
    </row>
    <row r="37" spans="1:5" ht="39" x14ac:dyDescent="0.25">
      <c r="A37">
        <v>36</v>
      </c>
      <c r="B37" s="13" t="s">
        <v>42</v>
      </c>
      <c r="C37" s="13" t="s">
        <v>43</v>
      </c>
      <c r="D37" t="s">
        <v>1223</v>
      </c>
      <c r="E37" t="e">
        <f>VLOOKUP(B37,'working space'!F:F,1,FALSE)</f>
        <v>#N/A</v>
      </c>
    </row>
    <row r="38" spans="1:5" ht="39" x14ac:dyDescent="0.25">
      <c r="A38">
        <v>37</v>
      </c>
      <c r="B38" s="13" t="s">
        <v>44</v>
      </c>
      <c r="C38" s="13" t="s">
        <v>45</v>
      </c>
      <c r="D38" t="s">
        <v>1223</v>
      </c>
      <c r="E38" t="e">
        <f>VLOOKUP(B38,'working space'!F:F,1,FALSE)</f>
        <v>#N/A</v>
      </c>
    </row>
    <row r="39" spans="1:5" ht="39" x14ac:dyDescent="0.25">
      <c r="A39">
        <v>38</v>
      </c>
      <c r="B39" s="13" t="s">
        <v>46</v>
      </c>
      <c r="C39" s="13" t="s">
        <v>47</v>
      </c>
      <c r="D39" t="s">
        <v>1223</v>
      </c>
      <c r="E39" t="e">
        <f>VLOOKUP(B39,'working space'!F:F,1,FALSE)</f>
        <v>#N/A</v>
      </c>
    </row>
    <row r="40" spans="1:5" ht="39" x14ac:dyDescent="0.25">
      <c r="A40">
        <v>39</v>
      </c>
      <c r="B40" s="13" t="s">
        <v>48</v>
      </c>
      <c r="C40" s="13" t="s">
        <v>49</v>
      </c>
      <c r="D40" t="s">
        <v>1223</v>
      </c>
      <c r="E40" t="e">
        <f>VLOOKUP(B40,'working space'!F:F,1,FALSE)</f>
        <v>#N/A</v>
      </c>
    </row>
    <row r="41" spans="1:5" ht="39" x14ac:dyDescent="0.25">
      <c r="A41">
        <v>40</v>
      </c>
      <c r="B41" s="13" t="s">
        <v>50</v>
      </c>
      <c r="C41" s="13" t="s">
        <v>51</v>
      </c>
      <c r="D41" t="s">
        <v>1223</v>
      </c>
      <c r="E41" t="e">
        <f>VLOOKUP(B41,'working space'!F:F,1,FALSE)</f>
        <v>#N/A</v>
      </c>
    </row>
    <row r="42" spans="1:5" ht="39" x14ac:dyDescent="0.25">
      <c r="A42">
        <v>41</v>
      </c>
      <c r="B42" s="13" t="s">
        <v>52</v>
      </c>
      <c r="C42" s="13" t="s">
        <v>53</v>
      </c>
      <c r="D42" t="s">
        <v>1223</v>
      </c>
      <c r="E42" t="e">
        <f>VLOOKUP(B42,'working space'!F:F,1,FALSE)</f>
        <v>#N/A</v>
      </c>
    </row>
    <row r="43" spans="1:5" ht="39" x14ac:dyDescent="0.25">
      <c r="A43">
        <v>42</v>
      </c>
      <c r="B43" s="13" t="s">
        <v>54</v>
      </c>
      <c r="C43" s="13" t="s">
        <v>55</v>
      </c>
      <c r="D43" t="s">
        <v>379</v>
      </c>
      <c r="E43" t="e">
        <f>VLOOKUP(B43,'working space'!F:F,1,FALSE)</f>
        <v>#N/A</v>
      </c>
    </row>
    <row r="44" spans="1:5" ht="39" x14ac:dyDescent="0.25">
      <c r="A44">
        <v>43</v>
      </c>
      <c r="B44" s="13" t="s">
        <v>56</v>
      </c>
      <c r="C44" s="13" t="s">
        <v>57</v>
      </c>
      <c r="D44" t="s">
        <v>379</v>
      </c>
      <c r="E44" t="e">
        <f>VLOOKUP(B44,'working space'!F:F,1,FALSE)</f>
        <v>#N/A</v>
      </c>
    </row>
    <row r="45" spans="1:5" ht="39" x14ac:dyDescent="0.25">
      <c r="A45">
        <v>44</v>
      </c>
      <c r="B45" s="13" t="s">
        <v>58</v>
      </c>
      <c r="C45" s="13" t="s">
        <v>59</v>
      </c>
      <c r="D45" t="s">
        <v>379</v>
      </c>
      <c r="E45" t="e">
        <f>VLOOKUP(B45,'working space'!F:F,1,FALSE)</f>
        <v>#N/A</v>
      </c>
    </row>
    <row r="46" spans="1:5" ht="39" x14ac:dyDescent="0.25">
      <c r="A46">
        <v>45</v>
      </c>
      <c r="B46" s="13" t="s">
        <v>60</v>
      </c>
      <c r="C46" s="13" t="s">
        <v>61</v>
      </c>
      <c r="D46" t="s">
        <v>379</v>
      </c>
      <c r="E46" t="e">
        <f>VLOOKUP(B46,'working space'!F:F,1,FALSE)</f>
        <v>#N/A</v>
      </c>
    </row>
    <row r="47" spans="1:5" ht="39" x14ac:dyDescent="0.25">
      <c r="A47">
        <v>46</v>
      </c>
      <c r="B47" s="13" t="s">
        <v>62</v>
      </c>
      <c r="C47" s="13" t="s">
        <v>63</v>
      </c>
      <c r="D47" t="s">
        <v>379</v>
      </c>
      <c r="E47" t="e">
        <f>VLOOKUP(B47,'working space'!F:F,1,FALSE)</f>
        <v>#N/A</v>
      </c>
    </row>
    <row r="48" spans="1:5" ht="39" x14ac:dyDescent="0.25">
      <c r="A48">
        <v>47</v>
      </c>
      <c r="B48" s="13" t="s">
        <v>64</v>
      </c>
      <c r="C48" s="13" t="s">
        <v>65</v>
      </c>
      <c r="D48" t="s">
        <v>379</v>
      </c>
      <c r="E48" t="e">
        <f>VLOOKUP(B48,'working space'!F:F,1,FALSE)</f>
        <v>#N/A</v>
      </c>
    </row>
    <row r="49" spans="1:5" ht="39" x14ac:dyDescent="0.25">
      <c r="A49">
        <v>48</v>
      </c>
      <c r="B49" s="13" t="s">
        <v>66</v>
      </c>
      <c r="C49" s="13" t="s">
        <v>67</v>
      </c>
      <c r="D49" t="s">
        <v>379</v>
      </c>
      <c r="E49" t="e">
        <f>VLOOKUP(B49,'working space'!F:F,1,FALSE)</f>
        <v>#N/A</v>
      </c>
    </row>
    <row r="50" spans="1:5" ht="39" x14ac:dyDescent="0.25">
      <c r="A50">
        <v>49</v>
      </c>
      <c r="B50" s="13" t="s">
        <v>68</v>
      </c>
      <c r="C50" s="13" t="s">
        <v>69</v>
      </c>
      <c r="D50" t="s">
        <v>379</v>
      </c>
      <c r="E50" t="e">
        <f>VLOOKUP(B50,'working space'!F:F,1,FALSE)</f>
        <v>#N/A</v>
      </c>
    </row>
    <row r="51" spans="1:5" ht="39" x14ac:dyDescent="0.25">
      <c r="A51">
        <v>50</v>
      </c>
      <c r="B51" s="13" t="s">
        <v>70</v>
      </c>
      <c r="C51" s="13" t="s">
        <v>71</v>
      </c>
      <c r="D51" t="s">
        <v>379</v>
      </c>
      <c r="E51" t="e">
        <f>VLOOKUP(B51,'working space'!F:F,1,FALSE)</f>
        <v>#N/A</v>
      </c>
    </row>
    <row r="52" spans="1:5" ht="39" x14ac:dyDescent="0.25">
      <c r="A52">
        <v>51</v>
      </c>
      <c r="B52" s="13" t="s">
        <v>72</v>
      </c>
      <c r="C52" s="13" t="s">
        <v>73</v>
      </c>
      <c r="D52" t="s">
        <v>379</v>
      </c>
      <c r="E52" t="e">
        <f>VLOOKUP(B52,'working space'!F:F,1,FALSE)</f>
        <v>#N/A</v>
      </c>
    </row>
    <row r="53" spans="1:5" ht="39" x14ac:dyDescent="0.25">
      <c r="A53">
        <v>52</v>
      </c>
      <c r="B53" s="13" t="s">
        <v>74</v>
      </c>
      <c r="C53" s="13" t="s">
        <v>75</v>
      </c>
      <c r="D53" t="s">
        <v>379</v>
      </c>
      <c r="E53" t="e">
        <f>VLOOKUP(B53,'working space'!F:F,1,FALSE)</f>
        <v>#N/A</v>
      </c>
    </row>
    <row r="54" spans="1:5" ht="39" x14ac:dyDescent="0.25">
      <c r="A54">
        <v>53</v>
      </c>
      <c r="B54" s="13" t="s">
        <v>76</v>
      </c>
      <c r="C54" s="13" t="s">
        <v>77</v>
      </c>
      <c r="D54" t="s">
        <v>379</v>
      </c>
      <c r="E54" t="e">
        <f>VLOOKUP(B54,'working space'!F:F,1,FALSE)</f>
        <v>#N/A</v>
      </c>
    </row>
    <row r="55" spans="1:5" ht="39" x14ac:dyDescent="0.25">
      <c r="A55">
        <v>54</v>
      </c>
      <c r="B55" s="13" t="s">
        <v>78</v>
      </c>
      <c r="C55" s="13" t="s">
        <v>79</v>
      </c>
      <c r="D55" t="s">
        <v>379</v>
      </c>
      <c r="E55" t="e">
        <f>VLOOKUP(B55,'working space'!F:F,1,FALSE)</f>
        <v>#N/A</v>
      </c>
    </row>
    <row r="56" spans="1:5" ht="39" x14ac:dyDescent="0.25">
      <c r="A56">
        <v>55</v>
      </c>
      <c r="B56" s="13" t="s">
        <v>80</v>
      </c>
      <c r="C56" s="13" t="s">
        <v>81</v>
      </c>
      <c r="D56" t="s">
        <v>379</v>
      </c>
      <c r="E56" t="e">
        <f>VLOOKUP(B56,'working space'!F:F,1,FALSE)</f>
        <v>#N/A</v>
      </c>
    </row>
    <row r="57" spans="1:5" ht="39" x14ac:dyDescent="0.25">
      <c r="A57">
        <v>56</v>
      </c>
      <c r="B57" s="13" t="s">
        <v>82</v>
      </c>
      <c r="C57" s="13" t="s">
        <v>83</v>
      </c>
      <c r="D57" t="s">
        <v>379</v>
      </c>
      <c r="E57" t="e">
        <f>VLOOKUP(B57,'working space'!F:F,1,FALSE)</f>
        <v>#N/A</v>
      </c>
    </row>
    <row r="58" spans="1:5" ht="39" x14ac:dyDescent="0.25">
      <c r="A58">
        <v>57</v>
      </c>
      <c r="B58" s="13" t="s">
        <v>84</v>
      </c>
      <c r="C58" s="13" t="s">
        <v>85</v>
      </c>
      <c r="D58" t="s">
        <v>379</v>
      </c>
      <c r="E58" t="e">
        <f>VLOOKUP(B58,'working space'!F:F,1,FALSE)</f>
        <v>#N/A</v>
      </c>
    </row>
    <row r="59" spans="1:5" ht="39" x14ac:dyDescent="0.25">
      <c r="A59">
        <v>58</v>
      </c>
      <c r="B59" s="13" t="s">
        <v>86</v>
      </c>
      <c r="C59" s="13" t="s">
        <v>87</v>
      </c>
      <c r="D59" t="s">
        <v>379</v>
      </c>
      <c r="E59" t="e">
        <f>VLOOKUP(B59,'working space'!F:F,1,FALSE)</f>
        <v>#N/A</v>
      </c>
    </row>
    <row r="60" spans="1:5" ht="39" x14ac:dyDescent="0.25">
      <c r="A60">
        <v>59</v>
      </c>
      <c r="B60" s="13" t="s">
        <v>88</v>
      </c>
      <c r="C60" s="13" t="s">
        <v>89</v>
      </c>
      <c r="D60" t="s">
        <v>379</v>
      </c>
      <c r="E60" t="e">
        <f>VLOOKUP(B60,'working space'!F:F,1,FALSE)</f>
        <v>#N/A</v>
      </c>
    </row>
    <row r="61" spans="1:5" ht="39" x14ac:dyDescent="0.25">
      <c r="A61">
        <v>60</v>
      </c>
      <c r="B61" s="13" t="s">
        <v>90</v>
      </c>
      <c r="C61" s="13" t="s">
        <v>91</v>
      </c>
      <c r="D61" t="s">
        <v>379</v>
      </c>
      <c r="E61" t="e">
        <f>VLOOKUP(B61,'working space'!F:F,1,FALSE)</f>
        <v>#N/A</v>
      </c>
    </row>
    <row r="62" spans="1:5" ht="39" x14ac:dyDescent="0.25">
      <c r="A62">
        <v>61</v>
      </c>
      <c r="B62" s="13" t="s">
        <v>92</v>
      </c>
      <c r="C62" s="13" t="s">
        <v>93</v>
      </c>
      <c r="D62" t="s">
        <v>379</v>
      </c>
      <c r="E62" t="e">
        <f>VLOOKUP(B62,'working space'!F:F,1,FALSE)</f>
        <v>#N/A</v>
      </c>
    </row>
    <row r="63" spans="1:5" ht="39" x14ac:dyDescent="0.25">
      <c r="A63">
        <v>62</v>
      </c>
      <c r="B63" s="13" t="s">
        <v>94</v>
      </c>
      <c r="C63" s="13" t="s">
        <v>95</v>
      </c>
      <c r="D63" t="s">
        <v>379</v>
      </c>
      <c r="E63" t="e">
        <f>VLOOKUP(B63,'working space'!F:F,1,FALSE)</f>
        <v>#N/A</v>
      </c>
    </row>
    <row r="64" spans="1:5" ht="58.5" x14ac:dyDescent="0.25">
      <c r="A64">
        <v>63</v>
      </c>
      <c r="B64" s="13" t="s">
        <v>96</v>
      </c>
      <c r="C64" s="13" t="s">
        <v>97</v>
      </c>
      <c r="D64" t="e">
        <f>VLOOKUP(C64,Temp!A:B,2,FALSE)</f>
        <v>#N/A</v>
      </c>
      <c r="E64" t="e">
        <f>VLOOKUP(B64,'working space'!F:F,1,FALSE)</f>
        <v>#N/A</v>
      </c>
    </row>
    <row r="65" spans="1:5" ht="58.5" x14ac:dyDescent="0.25">
      <c r="A65">
        <v>64</v>
      </c>
      <c r="B65" s="13" t="s">
        <v>98</v>
      </c>
      <c r="C65" s="13" t="s">
        <v>99</v>
      </c>
      <c r="D65" t="e">
        <f>VLOOKUP(C65,Temp!A:B,2,FALSE)</f>
        <v>#N/A</v>
      </c>
      <c r="E65" t="e">
        <f>VLOOKUP(B65,'working space'!F:F,1,FALSE)</f>
        <v>#N/A</v>
      </c>
    </row>
    <row r="66" spans="1:5" ht="58.5" x14ac:dyDescent="0.25">
      <c r="A66">
        <v>65</v>
      </c>
      <c r="B66" s="13" t="s">
        <v>100</v>
      </c>
      <c r="C66" s="13" t="s">
        <v>101</v>
      </c>
      <c r="D66" t="e">
        <f>VLOOKUP(C66,Temp!A:B,2,FALSE)</f>
        <v>#N/A</v>
      </c>
      <c r="E66" t="e">
        <f>VLOOKUP(B66,'working space'!F:F,1,FALSE)</f>
        <v>#N/A</v>
      </c>
    </row>
    <row r="67" spans="1:5" ht="58.5" x14ac:dyDescent="0.25">
      <c r="A67">
        <v>66</v>
      </c>
      <c r="B67" s="13" t="s">
        <v>102</v>
      </c>
      <c r="C67" s="13" t="s">
        <v>103</v>
      </c>
      <c r="D67" t="e">
        <f>VLOOKUP(C67,Temp!A:B,2,FALSE)</f>
        <v>#N/A</v>
      </c>
      <c r="E67" t="e">
        <f>VLOOKUP(B67,'working space'!F:F,1,FALSE)</f>
        <v>#N/A</v>
      </c>
    </row>
    <row r="68" spans="1:5" ht="58.5" x14ac:dyDescent="0.25">
      <c r="A68">
        <v>67</v>
      </c>
      <c r="B68" s="13" t="s">
        <v>104</v>
      </c>
      <c r="C68" s="13" t="s">
        <v>105</v>
      </c>
      <c r="D68" t="s">
        <v>379</v>
      </c>
      <c r="E68" t="e">
        <f>VLOOKUP(B68,'working space'!F:F,1,FALSE)</f>
        <v>#N/A</v>
      </c>
    </row>
    <row r="69" spans="1:5" ht="58.5" x14ac:dyDescent="0.25">
      <c r="A69">
        <v>68</v>
      </c>
      <c r="B69" s="13" t="s">
        <v>106</v>
      </c>
      <c r="C69" s="13" t="s">
        <v>107</v>
      </c>
      <c r="D69" t="s">
        <v>379</v>
      </c>
      <c r="E69" t="e">
        <f>VLOOKUP(B69,'working space'!F:F,1,FALSE)</f>
        <v>#N/A</v>
      </c>
    </row>
    <row r="70" spans="1:5" ht="58.5" x14ac:dyDescent="0.25">
      <c r="A70">
        <v>69</v>
      </c>
      <c r="B70" s="13" t="s">
        <v>108</v>
      </c>
      <c r="C70" s="13" t="s">
        <v>109</v>
      </c>
      <c r="D70" t="s">
        <v>379</v>
      </c>
      <c r="E70" t="e">
        <f>VLOOKUP(B70,'working space'!F:F,1,FALSE)</f>
        <v>#N/A</v>
      </c>
    </row>
    <row r="71" spans="1:5" ht="78" x14ac:dyDescent="0.25">
      <c r="A71">
        <v>70</v>
      </c>
      <c r="B71" s="13" t="s">
        <v>110</v>
      </c>
      <c r="C71" s="13" t="s">
        <v>111</v>
      </c>
      <c r="D71" t="e">
        <f>VLOOKUP(C71,Temp!A:B,2,FALSE)</f>
        <v>#N/A</v>
      </c>
      <c r="E71" t="e">
        <f>VLOOKUP(B71,'working space'!F:F,1,FALSE)</f>
        <v>#N/A</v>
      </c>
    </row>
    <row r="72" spans="1:5" ht="78" x14ac:dyDescent="0.25">
      <c r="A72">
        <v>71</v>
      </c>
      <c r="B72" s="13" t="s">
        <v>112</v>
      </c>
      <c r="C72" s="13" t="s">
        <v>113</v>
      </c>
      <c r="D72" t="e">
        <f>VLOOKUP(C72,Temp!A:B,2,FALSE)</f>
        <v>#N/A</v>
      </c>
      <c r="E72" t="e">
        <f>VLOOKUP(B72,'working space'!F:F,1,FALSE)</f>
        <v>#N/A</v>
      </c>
    </row>
    <row r="73" spans="1:5" ht="78" x14ac:dyDescent="0.25">
      <c r="A73">
        <v>72</v>
      </c>
      <c r="B73" s="13" t="s">
        <v>114</v>
      </c>
      <c r="C73" s="13" t="s">
        <v>115</v>
      </c>
      <c r="D73" t="e">
        <f>VLOOKUP(C73,Temp!A:B,2,FALSE)</f>
        <v>#N/A</v>
      </c>
      <c r="E73" t="e">
        <f>VLOOKUP(B73,'working space'!F:F,1,FALSE)</f>
        <v>#N/A</v>
      </c>
    </row>
    <row r="74" spans="1:5" ht="78" x14ac:dyDescent="0.25">
      <c r="A74">
        <v>73</v>
      </c>
      <c r="B74" s="13" t="s">
        <v>116</v>
      </c>
      <c r="C74" s="13" t="s">
        <v>117</v>
      </c>
      <c r="D74" t="e">
        <f>VLOOKUP(C74,Temp!A:B,2,FALSE)</f>
        <v>#N/A</v>
      </c>
      <c r="E74" t="e">
        <f>VLOOKUP(B74,'working space'!F:F,1,FALSE)</f>
        <v>#N/A</v>
      </c>
    </row>
    <row r="75" spans="1:5" ht="78" x14ac:dyDescent="0.25">
      <c r="A75">
        <v>74</v>
      </c>
      <c r="B75" s="13" t="s">
        <v>118</v>
      </c>
      <c r="C75" s="13" t="s">
        <v>119</v>
      </c>
      <c r="D75" t="e">
        <f>VLOOKUP(C75,Temp!A:B,2,FALSE)</f>
        <v>#N/A</v>
      </c>
      <c r="E75" t="e">
        <f>VLOOKUP(B75,'working space'!F:F,1,FALSE)</f>
        <v>#N/A</v>
      </c>
    </row>
    <row r="76" spans="1:5" ht="78" x14ac:dyDescent="0.25">
      <c r="A76">
        <v>75</v>
      </c>
      <c r="B76" s="13" t="s">
        <v>120</v>
      </c>
      <c r="C76" s="13" t="s">
        <v>121</v>
      </c>
      <c r="D76" t="e">
        <f>VLOOKUP(C76,Temp!A:B,2,FALSE)</f>
        <v>#N/A</v>
      </c>
      <c r="E76" t="e">
        <f>VLOOKUP(B76,'working space'!F:F,1,FALSE)</f>
        <v>#N/A</v>
      </c>
    </row>
    <row r="77" spans="1:5" ht="78" x14ac:dyDescent="0.25">
      <c r="A77">
        <v>76</v>
      </c>
      <c r="B77" s="13" t="s">
        <v>122</v>
      </c>
      <c r="C77" s="13" t="s">
        <v>123</v>
      </c>
      <c r="D77" t="e">
        <f>VLOOKUP(C77,Temp!A:B,2,FALSE)</f>
        <v>#N/A</v>
      </c>
      <c r="E77" t="e">
        <f>VLOOKUP(B77,'working space'!F:F,1,FALSE)</f>
        <v>#N/A</v>
      </c>
    </row>
    <row r="78" spans="1:5" ht="78" x14ac:dyDescent="0.25">
      <c r="A78">
        <v>77</v>
      </c>
      <c r="B78" s="13" t="s">
        <v>124</v>
      </c>
      <c r="C78" s="13" t="s">
        <v>125</v>
      </c>
      <c r="D78" t="e">
        <f>VLOOKUP(C78,Temp!A:B,2,FALSE)</f>
        <v>#N/A</v>
      </c>
      <c r="E78" t="e">
        <f>VLOOKUP(B78,'working space'!F:F,1,FALSE)</f>
        <v>#N/A</v>
      </c>
    </row>
    <row r="79" spans="1:5" ht="19.5" x14ac:dyDescent="0.25">
      <c r="A79">
        <v>78</v>
      </c>
      <c r="B79" s="13" t="s">
        <v>126</v>
      </c>
      <c r="C79" s="13" t="s">
        <v>127</v>
      </c>
      <c r="D79" t="e">
        <f>VLOOKUP(C79,Temp!A:B,2,FALSE)</f>
        <v>#N/A</v>
      </c>
      <c r="E79" t="e">
        <f>VLOOKUP(B79,'working space'!F:F,1,FALSE)</f>
        <v>#N/A</v>
      </c>
    </row>
    <row r="80" spans="1:5" ht="58.5" x14ac:dyDescent="0.25">
      <c r="A80">
        <v>79</v>
      </c>
      <c r="B80" s="13" t="s">
        <v>128</v>
      </c>
      <c r="C80" s="13" t="s">
        <v>129</v>
      </c>
      <c r="D80" t="e">
        <f>VLOOKUP(C80,Temp!A:B,2,FALSE)</f>
        <v>#N/A</v>
      </c>
      <c r="E80" t="e">
        <f>VLOOKUP(B80,'working space'!F:F,1,FALSE)</f>
        <v>#N/A</v>
      </c>
    </row>
    <row r="81" spans="1:7" ht="58.5" x14ac:dyDescent="0.25">
      <c r="A81">
        <v>80</v>
      </c>
      <c r="B81" s="13" t="s">
        <v>292</v>
      </c>
      <c r="C81" s="13" t="s">
        <v>293</v>
      </c>
      <c r="D81" t="s">
        <v>1162</v>
      </c>
      <c r="E81" t="e">
        <f>VLOOKUP(B81,'working space'!F:F,1,FALSE)</f>
        <v>#N/A</v>
      </c>
      <c r="F81" t="e">
        <f>VLOOKUP(B81,Temp!D:D,1,FALSE)</f>
        <v>#N/A</v>
      </c>
      <c r="G81" t="e">
        <f>VLOOKUP(B81,Temp!D:D,1,FALSE)</f>
        <v>#N/A</v>
      </c>
    </row>
    <row r="82" spans="1:7" ht="39" x14ac:dyDescent="0.25">
      <c r="A82">
        <v>81</v>
      </c>
      <c r="B82" s="13" t="s">
        <v>294</v>
      </c>
      <c r="C82" s="13" t="s">
        <v>295</v>
      </c>
      <c r="D82" t="s">
        <v>1162</v>
      </c>
      <c r="E82" t="str">
        <f>VLOOKUP(B82,'working space'!F:F,1,FALSE)</f>
        <v>gmp_weighed_wfa_at_0_5_months</v>
      </c>
      <c r="F82" t="str">
        <f>VLOOKUP(B82,Temp!D:D,1,FALSE)</f>
        <v>gmp_weighed_wfa_at_0_5_months</v>
      </c>
      <c r="G82" t="str">
        <f>VLOOKUP(B82,Temp!D:D,1,FALSE)</f>
        <v>gmp_weighed_wfa_at_0_5_months</v>
      </c>
    </row>
    <row r="83" spans="1:7" ht="39" x14ac:dyDescent="0.25">
      <c r="A83">
        <v>82</v>
      </c>
      <c r="B83" s="13" t="s">
        <v>296</v>
      </c>
      <c r="C83" s="13" t="s">
        <v>297</v>
      </c>
      <c r="D83" t="s">
        <v>1162</v>
      </c>
      <c r="E83" t="str">
        <f>VLOOKUP(B83,'working space'!F:F,1,FALSE)</f>
        <v>gmp_weighed_wfa_at_6_23_months</v>
      </c>
      <c r="F83" t="str">
        <f>VLOOKUP(B83,Temp!D:D,1,FALSE)</f>
        <v>gmp_weighed_wfa_at_6_23_months</v>
      </c>
      <c r="G83" t="str">
        <f>VLOOKUP(B83,Temp!D:D,1,FALSE)</f>
        <v>gmp_weighed_wfa_at_6_23_months</v>
      </c>
    </row>
    <row r="84" spans="1:7" ht="39" x14ac:dyDescent="0.25">
      <c r="A84">
        <v>83</v>
      </c>
      <c r="B84" s="13" t="s">
        <v>298</v>
      </c>
      <c r="C84" s="13" t="s">
        <v>299</v>
      </c>
      <c r="D84" t="s">
        <v>1162</v>
      </c>
      <c r="E84" t="str">
        <f>VLOOKUP(B84,'working space'!F:F,1,FALSE)</f>
        <v>moderate_wfa_at_0_5_months</v>
      </c>
      <c r="F84" t="str">
        <f>VLOOKUP(B84,Temp!D:D,1,FALSE)</f>
        <v>moderate_wfa_at_0_5_months</v>
      </c>
      <c r="G84" t="str">
        <f>VLOOKUP(B84,Temp!D:D,1,FALSE)</f>
        <v>moderate_wfa_at_0_5_months</v>
      </c>
    </row>
    <row r="85" spans="1:7" ht="39" x14ac:dyDescent="0.25">
      <c r="A85">
        <v>84</v>
      </c>
      <c r="B85" s="13" t="s">
        <v>300</v>
      </c>
      <c r="C85" s="13" t="s">
        <v>301</v>
      </c>
      <c r="D85" t="s">
        <v>1162</v>
      </c>
      <c r="E85" t="str">
        <f>VLOOKUP(B85,'working space'!F:F,1,FALSE)</f>
        <v>moderate_wfa_at_6_23_months</v>
      </c>
      <c r="F85" t="str">
        <f>VLOOKUP(B85,Temp!D:D,1,FALSE)</f>
        <v>moderate_wfa_at_6_23_months</v>
      </c>
      <c r="G85" t="str">
        <f>VLOOKUP(B85,Temp!D:D,1,FALSE)</f>
        <v>moderate_wfa_at_6_23_months</v>
      </c>
    </row>
    <row r="86" spans="1:7" ht="39" x14ac:dyDescent="0.25">
      <c r="A86">
        <v>85</v>
      </c>
      <c r="B86" s="13" t="s">
        <v>302</v>
      </c>
      <c r="C86" s="13" t="s">
        <v>303</v>
      </c>
      <c r="D86" t="s">
        <v>1162</v>
      </c>
      <c r="E86" t="str">
        <f>VLOOKUP(B86,'working space'!F:F,1,FALSE)</f>
        <v>severe_wfa_at_0_5_months</v>
      </c>
      <c r="F86" t="str">
        <f>VLOOKUP(B86,Temp!D:D,1,FALSE)</f>
        <v>severe_wfa_at_0_5_months</v>
      </c>
      <c r="G86" t="str">
        <f>VLOOKUP(B86,Temp!D:D,1,FALSE)</f>
        <v>severe_wfa_at_0_5_months</v>
      </c>
    </row>
    <row r="87" spans="1:7" ht="39" x14ac:dyDescent="0.25">
      <c r="A87">
        <v>86</v>
      </c>
      <c r="B87" s="13" t="s">
        <v>304</v>
      </c>
      <c r="C87" s="13" t="s">
        <v>305</v>
      </c>
      <c r="D87" t="s">
        <v>1162</v>
      </c>
      <c r="E87" t="str">
        <f>VLOOKUP(B87,'working space'!F:F,1,FALSE)</f>
        <v>severe_wfa_at_6_23_months</v>
      </c>
      <c r="F87" t="str">
        <f>VLOOKUP(B87,Temp!D:D,1,FALSE)</f>
        <v>severe_wfa_at_6_23_months</v>
      </c>
      <c r="G87" t="str">
        <f>VLOOKUP(B87,Temp!D:D,1,FALSE)</f>
        <v>severe_wfa_at_6_23_months</v>
      </c>
    </row>
    <row r="88" spans="1:7" ht="39" x14ac:dyDescent="0.25">
      <c r="A88">
        <v>87</v>
      </c>
      <c r="B88" s="13" t="s">
        <v>306</v>
      </c>
      <c r="C88" s="13" t="s">
        <v>307</v>
      </c>
      <c r="D88" t="s">
        <v>1162</v>
      </c>
      <c r="E88" t="e">
        <f>VLOOKUP(B88,'working space'!F:F,1,FALSE)</f>
        <v>#N/A</v>
      </c>
      <c r="F88" t="e">
        <f>VLOOKUP(B88,Temp!D:D,1,FALSE)</f>
        <v>#N/A</v>
      </c>
      <c r="G88" t="e">
        <f>VLOOKUP(B88,Temp!D:D,1,FALSE)</f>
        <v>#N/A</v>
      </c>
    </row>
    <row r="89" spans="1:7" ht="39" x14ac:dyDescent="0.25">
      <c r="A89">
        <v>88</v>
      </c>
      <c r="B89" s="13" t="s">
        <v>308</v>
      </c>
      <c r="C89" s="13" t="s">
        <v>309</v>
      </c>
      <c r="D89" t="s">
        <v>1162</v>
      </c>
      <c r="E89" t="e">
        <f>VLOOKUP(B89,'working space'!F:F,1,FALSE)</f>
        <v>#N/A</v>
      </c>
      <c r="F89" t="e">
        <f>VLOOKUP(B89,Temp!D:D,1,FALSE)</f>
        <v>#N/A</v>
      </c>
      <c r="G89" t="e">
        <f>VLOOKUP(B89,Temp!D:D,1,FALSE)</f>
        <v>#N/A</v>
      </c>
    </row>
    <row r="90" spans="1:7" ht="58.5" x14ac:dyDescent="0.25">
      <c r="A90">
        <v>89</v>
      </c>
      <c r="B90" s="13" t="s">
        <v>310</v>
      </c>
      <c r="C90" s="13" t="s">
        <v>311</v>
      </c>
      <c r="D90" t="s">
        <v>1162</v>
      </c>
      <c r="E90" t="e">
        <f>VLOOKUP(B90,'working space'!F:F,1,FALSE)</f>
        <v>#N/A</v>
      </c>
      <c r="F90" t="e">
        <f>VLOOKUP(B90,Temp!D:D,1,FALSE)</f>
        <v>#N/A</v>
      </c>
      <c r="G90" t="e">
        <f>VLOOKUP(B90,Temp!D:D,1,FALSE)</f>
        <v>#N/A</v>
      </c>
    </row>
    <row r="91" spans="1:7" ht="39" x14ac:dyDescent="0.25">
      <c r="A91">
        <v>90</v>
      </c>
      <c r="B91" s="13" t="s">
        <v>312</v>
      </c>
      <c r="C91" s="13" t="s">
        <v>313</v>
      </c>
      <c r="D91" t="s">
        <v>1162</v>
      </c>
      <c r="E91" t="e">
        <f>VLOOKUP(B91,'working space'!F:F,1,FALSE)</f>
        <v>#N/A</v>
      </c>
      <c r="F91" t="e">
        <f>VLOOKUP(B91,Temp!D:D,1,FALSE)</f>
        <v>#N/A</v>
      </c>
      <c r="G91" t="e">
        <f>VLOOKUP(B91,Temp!D:D,1,FALSE)</f>
        <v>#N/A</v>
      </c>
    </row>
    <row r="92" spans="1:7" ht="39" x14ac:dyDescent="0.25">
      <c r="A92">
        <v>91</v>
      </c>
      <c r="B92" s="13" t="s">
        <v>314</v>
      </c>
      <c r="C92" s="13" t="s">
        <v>315</v>
      </c>
      <c r="D92" t="s">
        <v>1162</v>
      </c>
      <c r="E92" t="e">
        <f>VLOOKUP(B92,'working space'!F:F,1,FALSE)</f>
        <v>#N/A</v>
      </c>
      <c r="F92" t="e">
        <f>VLOOKUP(B92,Temp!D:D,1,FALSE)</f>
        <v>#N/A</v>
      </c>
      <c r="G92" t="e">
        <f>VLOOKUP(B92,Temp!D:D,1,FALSE)</f>
        <v>#N/A</v>
      </c>
    </row>
    <row r="93" spans="1:7" ht="39" x14ac:dyDescent="0.25">
      <c r="A93">
        <v>92</v>
      </c>
      <c r="B93" s="13" t="s">
        <v>316</v>
      </c>
      <c r="C93" s="13" t="s">
        <v>317</v>
      </c>
      <c r="D93" t="s">
        <v>1162</v>
      </c>
      <c r="E93" t="e">
        <f>VLOOKUP(B93,'working space'!F:F,1,FALSE)</f>
        <v>#N/A</v>
      </c>
      <c r="F93" t="e">
        <f>VLOOKUP(B93,Temp!D:D,1,FALSE)</f>
        <v>#N/A</v>
      </c>
      <c r="G93" t="e">
        <f>VLOOKUP(B93,Temp!D:D,1,FALSE)</f>
        <v>#N/A</v>
      </c>
    </row>
    <row r="94" spans="1:7" ht="39" x14ac:dyDescent="0.25">
      <c r="A94">
        <v>93</v>
      </c>
      <c r="B94" s="13" t="s">
        <v>318</v>
      </c>
      <c r="C94" s="13" t="s">
        <v>319</v>
      </c>
      <c r="D94" t="s">
        <v>1162</v>
      </c>
      <c r="E94" t="e">
        <f>VLOOKUP(B94,'working space'!F:F,1,FALSE)</f>
        <v>#N/A</v>
      </c>
      <c r="F94" t="e">
        <f>VLOOKUP(B94,Temp!D:D,1,FALSE)</f>
        <v>#N/A</v>
      </c>
      <c r="G94" t="e">
        <f>VLOOKUP(B94,Temp!D:D,1,FALSE)</f>
        <v>#N/A</v>
      </c>
    </row>
    <row r="95" spans="1:7" ht="19.5" x14ac:dyDescent="0.25">
      <c r="A95">
        <v>94</v>
      </c>
      <c r="B95" s="13" t="s">
        <v>320</v>
      </c>
      <c r="C95" s="13" t="s">
        <v>321</v>
      </c>
      <c r="D95" t="s">
        <v>1162</v>
      </c>
      <c r="E95" t="e">
        <f>VLOOKUP(B95,'working space'!F:F,1,FALSE)</f>
        <v>#N/A</v>
      </c>
      <c r="F95" t="e">
        <f>VLOOKUP(B95,Temp!D:D,1,FALSE)</f>
        <v>#N/A</v>
      </c>
      <c r="G95" t="e">
        <f>VLOOKUP(B95,Temp!D:D,1,FALSE)</f>
        <v>#N/A</v>
      </c>
    </row>
    <row r="96" spans="1:7" ht="19.5" x14ac:dyDescent="0.25">
      <c r="A96">
        <v>95</v>
      </c>
      <c r="B96" s="13" t="s">
        <v>322</v>
      </c>
      <c r="C96" s="13" t="s">
        <v>321</v>
      </c>
      <c r="D96" t="s">
        <v>1162</v>
      </c>
      <c r="E96" t="e">
        <f>VLOOKUP(B96,'working space'!F:F,1,FALSE)</f>
        <v>#N/A</v>
      </c>
      <c r="F96" t="e">
        <f>VLOOKUP(B96,Temp!D:D,1,FALSE)</f>
        <v>#N/A</v>
      </c>
      <c r="G96" t="e">
        <f>VLOOKUP(B96,Temp!D:D,1,FALSE)</f>
        <v>#N/A</v>
      </c>
    </row>
    <row r="97" spans="1:7" ht="58.5" x14ac:dyDescent="0.25">
      <c r="A97">
        <v>96</v>
      </c>
      <c r="B97" s="13" t="s">
        <v>323</v>
      </c>
      <c r="C97" s="13" t="s">
        <v>324</v>
      </c>
      <c r="D97" t="s">
        <v>1162</v>
      </c>
      <c r="E97" t="e">
        <f>VLOOKUP(B97,'working space'!F:F,1,FALSE)</f>
        <v>#N/A</v>
      </c>
      <c r="F97" t="e">
        <f>VLOOKUP(B97,Temp!D:D,1,FALSE)</f>
        <v>#N/A</v>
      </c>
      <c r="G97" t="e">
        <f>VLOOKUP(B97,Temp!D:D,1,FALSE)</f>
        <v>#N/A</v>
      </c>
    </row>
    <row r="98" spans="1:7" ht="39" x14ac:dyDescent="0.25">
      <c r="A98">
        <v>97</v>
      </c>
      <c r="B98" s="13" t="s">
        <v>325</v>
      </c>
      <c r="C98" s="13" t="s">
        <v>326</v>
      </c>
      <c r="D98" t="s">
        <v>1162</v>
      </c>
      <c r="E98" t="str">
        <f>VLOOKUP(B98,'working space'!F:F,1,FALSE)</f>
        <v>malnutrition_screened_plw_less_23</v>
      </c>
      <c r="F98" t="str">
        <f>VLOOKUP(B98,Temp!D:D,1,FALSE)</f>
        <v>malnutrition_screened_plw_less_23</v>
      </c>
      <c r="G98" t="str">
        <f>VLOOKUP(B98,Temp!D:D,1,FALSE)</f>
        <v>malnutrition_screened_plw_less_23</v>
      </c>
    </row>
    <row r="99" spans="1:7" ht="39" x14ac:dyDescent="0.25">
      <c r="A99">
        <v>98</v>
      </c>
      <c r="B99" s="13" t="s">
        <v>327</v>
      </c>
      <c r="C99" s="13" t="s">
        <v>328</v>
      </c>
      <c r="D99" t="s">
        <v>1162</v>
      </c>
      <c r="E99" t="str">
        <f>VLOOKUP(B99,'working space'!F:F,1,FALSE)</f>
        <v>malnutrition_screened_plw_23_or_more</v>
      </c>
      <c r="F99" t="str">
        <f>VLOOKUP(B99,Temp!D:D,1,FALSE)</f>
        <v>malnutrition_screened_plw_23_or_more</v>
      </c>
      <c r="G99" t="str">
        <f>VLOOKUP(B99,Temp!D:D,1,FALSE)</f>
        <v>malnutrition_screened_plw_23_or_more</v>
      </c>
    </row>
    <row r="100" spans="1:7" ht="58.5" x14ac:dyDescent="0.25">
      <c r="A100">
        <v>99</v>
      </c>
      <c r="B100" s="13" t="s">
        <v>329</v>
      </c>
      <c r="C100" s="13" t="s">
        <v>330</v>
      </c>
      <c r="D100" t="s">
        <v>1162</v>
      </c>
      <c r="E100" t="e">
        <f>VLOOKUP(B100,'working space'!F:F,1,FALSE)</f>
        <v>#N/A</v>
      </c>
      <c r="F100" t="str">
        <f>VLOOKUP(B100,Temp!D:D,1,FALSE)</f>
        <v>ANC_IFA_1</v>
      </c>
      <c r="G100" t="str">
        <f>VLOOKUP(B100,Temp!D:D,1,FALSE)</f>
        <v>ANC_IFA_1</v>
      </c>
    </row>
    <row r="101" spans="1:7" ht="78" x14ac:dyDescent="0.25">
      <c r="A101">
        <v>100</v>
      </c>
      <c r="B101" s="13" t="s">
        <v>331</v>
      </c>
      <c r="C101" s="13" t="s">
        <v>332</v>
      </c>
      <c r="D101" t="s">
        <v>1162</v>
      </c>
      <c r="E101" t="e">
        <f>VLOOKUP(B101,'working space'!F:F,1,FALSE)</f>
        <v>#N/A</v>
      </c>
      <c r="F101" t="e">
        <f>VLOOKUP(B101,Temp!D:D,1,FALSE)</f>
        <v>#N/A</v>
      </c>
      <c r="G101" t="e">
        <f>VLOOKUP(B101,Temp!D:D,1,FALSE)</f>
        <v>#N/A</v>
      </c>
    </row>
    <row r="102" spans="1:7" ht="58.5" x14ac:dyDescent="0.25">
      <c r="A102">
        <v>101</v>
      </c>
      <c r="B102" s="13" t="s">
        <v>130</v>
      </c>
      <c r="C102" s="13" t="s">
        <v>131</v>
      </c>
      <c r="D102" t="e">
        <f>VLOOKUP(C102,Temp!A:B,2,FALSE)</f>
        <v>#N/A</v>
      </c>
      <c r="E102" t="e">
        <f>VLOOKUP(B102,'working space'!F:F,1,FALSE)</f>
        <v>#N/A</v>
      </c>
    </row>
    <row r="103" spans="1:7" ht="58.5" x14ac:dyDescent="0.25">
      <c r="A103">
        <v>102</v>
      </c>
      <c r="B103" s="13" t="s">
        <v>132</v>
      </c>
      <c r="C103" s="13" t="s">
        <v>133</v>
      </c>
      <c r="D103" t="e">
        <f>VLOOKUP(C103,Temp!A:B,2,FALSE)</f>
        <v>#N/A</v>
      </c>
      <c r="E103" t="e">
        <f>VLOOKUP(B103,'working space'!F:F,1,FALSE)</f>
        <v>#N/A</v>
      </c>
    </row>
    <row r="104" spans="1:7" ht="78" x14ac:dyDescent="0.25">
      <c r="A104">
        <v>103</v>
      </c>
      <c r="B104" s="13" t="s">
        <v>134</v>
      </c>
      <c r="C104" s="13" t="s">
        <v>135</v>
      </c>
      <c r="D104" t="e">
        <f>VLOOKUP(C104,Temp!A:B,2,FALSE)</f>
        <v>#N/A</v>
      </c>
      <c r="E104" t="e">
        <f>VLOOKUP(B104,'working space'!F:F,1,FALSE)</f>
        <v>#N/A</v>
      </c>
    </row>
    <row r="105" spans="1:7" ht="97.5" x14ac:dyDescent="0.25">
      <c r="A105">
        <v>104</v>
      </c>
      <c r="B105" s="13" t="s">
        <v>136</v>
      </c>
      <c r="C105" s="13" t="s">
        <v>137</v>
      </c>
      <c r="D105" t="e">
        <f>VLOOKUP(C105,Temp!A:B,2,FALSE)</f>
        <v>#N/A</v>
      </c>
      <c r="E105" t="e">
        <f>VLOOKUP(B105,'working space'!F:F,1,FALSE)</f>
        <v>#N/A</v>
      </c>
    </row>
    <row r="106" spans="1:7" ht="58.5" x14ac:dyDescent="0.25">
      <c r="A106">
        <v>105</v>
      </c>
      <c r="B106" s="13" t="s">
        <v>138</v>
      </c>
      <c r="C106" s="13" t="s">
        <v>139</v>
      </c>
      <c r="D106" t="e">
        <f>VLOOKUP(C106,Temp!A:B,2,FALSE)</f>
        <v>#N/A</v>
      </c>
      <c r="E106" t="e">
        <f>VLOOKUP(B106,'working space'!F:F,1,FALSE)</f>
        <v>#N/A</v>
      </c>
    </row>
    <row r="107" spans="1:7" ht="39" x14ac:dyDescent="0.25">
      <c r="A107">
        <v>106</v>
      </c>
      <c r="B107" s="13" t="s">
        <v>140</v>
      </c>
      <c r="C107" s="13" t="s">
        <v>141</v>
      </c>
      <c r="D107" t="e">
        <f>VLOOKUP(C107,Temp!A:B,2,FALSE)</f>
        <v>#N/A</v>
      </c>
      <c r="E107" t="e">
        <f>VLOOKUP(B107,'working space'!F:F,1,FALSE)</f>
        <v>#N/A</v>
      </c>
    </row>
    <row r="108" spans="1:7" ht="58.5" x14ac:dyDescent="0.25">
      <c r="A108">
        <v>107</v>
      </c>
      <c r="B108" s="13" t="s">
        <v>142</v>
      </c>
      <c r="C108" s="13" t="s">
        <v>143</v>
      </c>
      <c r="D108" t="e">
        <f>VLOOKUP(C108,Temp!A:B,2,FALSE)</f>
        <v>#N/A</v>
      </c>
      <c r="E108" t="e">
        <f>VLOOKUP(B108,'working space'!F:F,1,FALSE)</f>
        <v>#N/A</v>
      </c>
    </row>
    <row r="109" spans="1:7" ht="97.5" x14ac:dyDescent="0.25">
      <c r="A109">
        <v>108</v>
      </c>
      <c r="B109" s="13" t="s">
        <v>144</v>
      </c>
      <c r="C109" s="13" t="s">
        <v>145</v>
      </c>
      <c r="D109" t="e">
        <f>VLOOKUP(C109,Temp!A:B,2,FALSE)</f>
        <v>#N/A</v>
      </c>
      <c r="E109" t="e">
        <f>VLOOKUP(B109,'working space'!F:F,1,FALSE)</f>
        <v>#N/A</v>
      </c>
    </row>
    <row r="110" spans="1:7" ht="78" x14ac:dyDescent="0.25">
      <c r="A110">
        <v>109</v>
      </c>
      <c r="B110" s="13" t="s">
        <v>146</v>
      </c>
      <c r="C110" s="13" t="s">
        <v>147</v>
      </c>
      <c r="D110" t="e">
        <f>VLOOKUP(C110,Temp!A:B,2,FALSE)</f>
        <v>#N/A</v>
      </c>
      <c r="E110" t="e">
        <f>VLOOKUP(B110,'working space'!F:F,1,FALSE)</f>
        <v>#N/A</v>
      </c>
    </row>
    <row r="111" spans="1:7" ht="78" x14ac:dyDescent="0.25">
      <c r="A111">
        <v>110</v>
      </c>
      <c r="B111" s="13" t="s">
        <v>148</v>
      </c>
      <c r="C111" s="13" t="s">
        <v>149</v>
      </c>
      <c r="D111" t="e">
        <f>VLOOKUP(C111,Temp!A:B,2,FALSE)</f>
        <v>#N/A</v>
      </c>
      <c r="E111" t="e">
        <f>VLOOKUP(B111,'working space'!F:F,1,FALSE)</f>
        <v>#N/A</v>
      </c>
    </row>
    <row r="112" spans="1:7" ht="58.5" x14ac:dyDescent="0.25">
      <c r="A112">
        <v>111</v>
      </c>
      <c r="B112" s="13" t="s">
        <v>150</v>
      </c>
      <c r="C112" s="13" t="s">
        <v>151</v>
      </c>
      <c r="D112" t="e">
        <f>VLOOKUP(C112,Temp!A:B,2,FALSE)</f>
        <v>#N/A</v>
      </c>
      <c r="E112" t="e">
        <f>VLOOKUP(B112,'working space'!F:F,1,FALSE)</f>
        <v>#N/A</v>
      </c>
    </row>
    <row r="113" spans="1:7" ht="19.5" x14ac:dyDescent="0.25">
      <c r="A113">
        <v>112</v>
      </c>
      <c r="B113" s="13" t="s">
        <v>152</v>
      </c>
      <c r="C113" s="13" t="s">
        <v>153</v>
      </c>
      <c r="D113" t="s">
        <v>379</v>
      </c>
      <c r="E113" t="e">
        <f>VLOOKUP(B113,'working space'!F:F,1,FALSE)</f>
        <v>#N/A</v>
      </c>
    </row>
    <row r="114" spans="1:7" ht="58.5" x14ac:dyDescent="0.25">
      <c r="A114">
        <v>113</v>
      </c>
      <c r="B114" s="13" t="s">
        <v>154</v>
      </c>
      <c r="C114" s="13" t="s">
        <v>155</v>
      </c>
      <c r="D114" t="s">
        <v>379</v>
      </c>
      <c r="E114" t="e">
        <f>VLOOKUP(B114,'working space'!F:F,1,FALSE)</f>
        <v>#N/A</v>
      </c>
    </row>
    <row r="115" spans="1:7" ht="39" x14ac:dyDescent="0.25">
      <c r="A115">
        <v>114</v>
      </c>
      <c r="B115" s="13" t="s">
        <v>156</v>
      </c>
      <c r="C115" s="13" t="s">
        <v>157</v>
      </c>
      <c r="D115" t="s">
        <v>379</v>
      </c>
      <c r="E115" t="e">
        <f>VLOOKUP(B115,'working space'!F:F,1,FALSE)</f>
        <v>#N/A</v>
      </c>
    </row>
    <row r="116" spans="1:7" ht="78" x14ac:dyDescent="0.25">
      <c r="A116">
        <v>115</v>
      </c>
      <c r="B116" s="13" t="s">
        <v>158</v>
      </c>
      <c r="C116" s="13" t="s">
        <v>159</v>
      </c>
      <c r="D116" t="e">
        <f>VLOOKUP(C116,Temp!A:B,2,FALSE)</f>
        <v>#N/A</v>
      </c>
      <c r="E116" t="e">
        <f>VLOOKUP(B116,'working space'!F:F,1,FALSE)</f>
        <v>#N/A</v>
      </c>
    </row>
    <row r="117" spans="1:7" ht="58.5" x14ac:dyDescent="0.25">
      <c r="A117">
        <v>116</v>
      </c>
      <c r="B117" s="13" t="s">
        <v>160</v>
      </c>
      <c r="C117" s="13" t="s">
        <v>161</v>
      </c>
      <c r="D117" t="e">
        <f>VLOOKUP(C117,Temp!A:B,2,FALSE)</f>
        <v>#N/A</v>
      </c>
      <c r="E117" t="e">
        <f>VLOOKUP(B117,'working space'!F:F,1,FALSE)</f>
        <v>#N/A</v>
      </c>
    </row>
    <row r="118" spans="1:7" ht="97.5" x14ac:dyDescent="0.25">
      <c r="A118">
        <v>117</v>
      </c>
      <c r="B118" s="13" t="s">
        <v>333</v>
      </c>
      <c r="C118" s="13" t="s">
        <v>334</v>
      </c>
      <c r="D118" t="s">
        <v>1162</v>
      </c>
      <c r="E118" t="e">
        <f>VLOOKUP(B118,'working space'!F:F,1,FALSE)</f>
        <v>#N/A</v>
      </c>
      <c r="F118" t="str">
        <f>VLOOKUP(B118,Temp!D:D,1,FALSE)</f>
        <v>NTR_VAS_2</v>
      </c>
      <c r="G118" t="str">
        <f>VLOOKUP(B118,Temp!D:D,1,FALSE)</f>
        <v>NTR_VAS_2</v>
      </c>
    </row>
    <row r="119" spans="1:7" ht="58.5" x14ac:dyDescent="0.25">
      <c r="A119">
        <v>118</v>
      </c>
      <c r="B119" s="13" t="s">
        <v>335</v>
      </c>
      <c r="C119" s="13" t="s">
        <v>336</v>
      </c>
      <c r="D119" t="s">
        <v>1162</v>
      </c>
      <c r="E119" t="e">
        <f>VLOOKUP(B119,'working space'!F:F,1,FALSE)</f>
        <v>#N/A</v>
      </c>
      <c r="F119" t="e">
        <f>VLOOKUP(B119,Temp!D:D,1,FALSE)</f>
        <v>#N/A</v>
      </c>
      <c r="G119" t="e">
        <f>VLOOKUP(B119,Temp!D:D,1,FALSE)</f>
        <v>#N/A</v>
      </c>
    </row>
    <row r="120" spans="1:7" ht="58.5" x14ac:dyDescent="0.25">
      <c r="A120">
        <v>119</v>
      </c>
      <c r="B120" s="13" t="s">
        <v>337</v>
      </c>
      <c r="C120" s="13" t="s">
        <v>338</v>
      </c>
      <c r="D120" t="s">
        <v>1162</v>
      </c>
      <c r="E120" t="e">
        <f>VLOOKUP(B120,'working space'!F:F,1,FALSE)</f>
        <v>#N/A</v>
      </c>
      <c r="F120" t="e">
        <f>VLOOKUP(B120,Temp!D:D,1,FALSE)</f>
        <v>#N/A</v>
      </c>
      <c r="G120" t="e">
        <f>VLOOKUP(B120,Temp!D:D,1,FALSE)</f>
        <v>#N/A</v>
      </c>
    </row>
    <row r="121" spans="1:7" ht="58.5" x14ac:dyDescent="0.25">
      <c r="A121">
        <v>120</v>
      </c>
      <c r="B121" s="13" t="s">
        <v>162</v>
      </c>
      <c r="C121" s="13" t="s">
        <v>163</v>
      </c>
      <c r="D121" t="e">
        <f>VLOOKUP(C121,Temp!A:B,2,FALSE)</f>
        <v>#N/A</v>
      </c>
      <c r="E121" t="e">
        <f>VLOOKUP(B121,'working space'!F:F,1,FALSE)</f>
        <v>#N/A</v>
      </c>
    </row>
    <row r="122" spans="1:7" ht="58.5" x14ac:dyDescent="0.25">
      <c r="A122">
        <v>121</v>
      </c>
      <c r="B122" s="13" t="s">
        <v>164</v>
      </c>
      <c r="C122" s="13" t="s">
        <v>165</v>
      </c>
      <c r="D122" t="e">
        <f>VLOOKUP(C122,Temp!A:B,2,FALSE)</f>
        <v>#N/A</v>
      </c>
      <c r="E122" t="e">
        <f>VLOOKUP(B122,'working space'!F:F,1,FALSE)</f>
        <v>#N/A</v>
      </c>
    </row>
    <row r="123" spans="1:7" ht="58.5" x14ac:dyDescent="0.25">
      <c r="A123">
        <v>122</v>
      </c>
      <c r="B123" s="13" t="s">
        <v>166</v>
      </c>
      <c r="C123" s="13" t="s">
        <v>167</v>
      </c>
      <c r="D123" t="e">
        <f>VLOOKUP(C123,Temp!A:B,2,FALSE)</f>
        <v>#N/A</v>
      </c>
      <c r="E123" t="e">
        <f>VLOOKUP(B123,'working space'!F:F,1,FALSE)</f>
        <v>#N/A</v>
      </c>
    </row>
    <row r="124" spans="1:7" ht="58.5" x14ac:dyDescent="0.25">
      <c r="A124">
        <v>123</v>
      </c>
      <c r="B124" s="13" t="s">
        <v>168</v>
      </c>
      <c r="C124" s="13" t="s">
        <v>169</v>
      </c>
      <c r="D124" t="e">
        <f>VLOOKUP(C124,Temp!A:B,2,FALSE)</f>
        <v>#N/A</v>
      </c>
      <c r="E124" t="e">
        <f>VLOOKUP(B124,'working space'!F:F,1,FALSE)</f>
        <v>#N/A</v>
      </c>
    </row>
    <row r="125" spans="1:7" ht="58.5" x14ac:dyDescent="0.25">
      <c r="A125">
        <v>124</v>
      </c>
      <c r="B125" s="13" t="s">
        <v>170</v>
      </c>
      <c r="C125" s="13" t="s">
        <v>171</v>
      </c>
      <c r="D125" t="e">
        <f>VLOOKUP(C125,Temp!A:B,2,FALSE)</f>
        <v>#N/A</v>
      </c>
      <c r="E125" t="e">
        <f>VLOOKUP(B125,'working space'!F:F,1,FALSE)</f>
        <v>#N/A</v>
      </c>
    </row>
    <row r="126" spans="1:7" ht="78" x14ac:dyDescent="0.25">
      <c r="A126">
        <v>125</v>
      </c>
      <c r="B126" s="13" t="s">
        <v>172</v>
      </c>
      <c r="C126" s="13" t="s">
        <v>173</v>
      </c>
      <c r="D126" t="s">
        <v>379</v>
      </c>
      <c r="E126" t="e">
        <f>VLOOKUP(B126,'working space'!F:F,1,FALSE)</f>
        <v>#N/A</v>
      </c>
    </row>
    <row r="127" spans="1:7" ht="78" x14ac:dyDescent="0.25">
      <c r="A127">
        <v>126</v>
      </c>
      <c r="B127" s="13" t="s">
        <v>174</v>
      </c>
      <c r="C127" s="13" t="s">
        <v>175</v>
      </c>
      <c r="D127" t="s">
        <v>379</v>
      </c>
      <c r="E127" t="e">
        <f>VLOOKUP(B127,'working space'!F:F,1,FALSE)</f>
        <v>#N/A</v>
      </c>
    </row>
    <row r="128" spans="1:7" ht="97.5" x14ac:dyDescent="0.25">
      <c r="A128">
        <v>127</v>
      </c>
      <c r="B128" s="13" t="s">
        <v>176</v>
      </c>
      <c r="C128" s="13" t="s">
        <v>177</v>
      </c>
      <c r="D128" t="e">
        <f>VLOOKUP(C128,Temp!A:B,2,FALSE)</f>
        <v>#N/A</v>
      </c>
      <c r="E128" t="e">
        <f>VLOOKUP(B128,'working space'!F:F,1,FALSE)</f>
        <v>#N/A</v>
      </c>
    </row>
    <row r="129" spans="1:5" ht="97.5" x14ac:dyDescent="0.25">
      <c r="A129">
        <v>128</v>
      </c>
      <c r="B129" s="13" t="s">
        <v>178</v>
      </c>
      <c r="C129" s="13" t="s">
        <v>179</v>
      </c>
      <c r="D129" t="s">
        <v>379</v>
      </c>
      <c r="E129" t="e">
        <f>VLOOKUP(B129,'working space'!F:F,1,FALSE)</f>
        <v>#N/A</v>
      </c>
    </row>
    <row r="130" spans="1:5" ht="78" x14ac:dyDescent="0.25">
      <c r="A130">
        <v>129</v>
      </c>
      <c r="B130" s="13" t="s">
        <v>180</v>
      </c>
      <c r="C130" s="13" t="s">
        <v>181</v>
      </c>
      <c r="D130" t="s">
        <v>379</v>
      </c>
      <c r="E130" t="e">
        <f>VLOOKUP(B130,'working space'!F:F,1,FALSE)</f>
        <v>#N/A</v>
      </c>
    </row>
    <row r="131" spans="1:5" ht="97.5" x14ac:dyDescent="0.25">
      <c r="A131">
        <v>130</v>
      </c>
      <c r="B131" s="13" t="s">
        <v>182</v>
      </c>
      <c r="C131" s="13" t="s">
        <v>183</v>
      </c>
      <c r="D131" t="s">
        <v>379</v>
      </c>
      <c r="E131" t="e">
        <f>VLOOKUP(B131,'working space'!F:F,1,FALSE)</f>
        <v>#N/A</v>
      </c>
    </row>
    <row r="132" spans="1:5" ht="117" x14ac:dyDescent="0.25">
      <c r="A132">
        <v>131</v>
      </c>
      <c r="B132" s="13" t="s">
        <v>184</v>
      </c>
      <c r="C132" s="13" t="s">
        <v>185</v>
      </c>
      <c r="D132" t="e">
        <f>VLOOKUP(C132,Temp!A:B,2,FALSE)</f>
        <v>#N/A</v>
      </c>
      <c r="E132" t="e">
        <f>VLOOKUP(B132,'working space'!F:F,1,FALSE)</f>
        <v>#N/A</v>
      </c>
    </row>
    <row r="133" spans="1:5" ht="97.5" x14ac:dyDescent="0.25">
      <c r="A133">
        <v>132</v>
      </c>
      <c r="B133" s="13" t="s">
        <v>186</v>
      </c>
      <c r="C133" s="13" t="s">
        <v>187</v>
      </c>
      <c r="D133" t="s">
        <v>379</v>
      </c>
      <c r="E133" t="e">
        <f>VLOOKUP(B133,'working space'!F:F,1,FALSE)</f>
        <v>#N/A</v>
      </c>
    </row>
    <row r="134" spans="1:5" ht="117" x14ac:dyDescent="0.25">
      <c r="A134">
        <v>133</v>
      </c>
      <c r="B134" s="13" t="s">
        <v>188</v>
      </c>
      <c r="C134" s="13" t="s">
        <v>189</v>
      </c>
      <c r="D134" t="s">
        <v>379</v>
      </c>
      <c r="E134" t="e">
        <f>VLOOKUP(B134,'working space'!F:F,1,FALSE)</f>
        <v>#N/A</v>
      </c>
    </row>
    <row r="135" spans="1:5" ht="117" x14ac:dyDescent="0.25">
      <c r="A135">
        <v>134</v>
      </c>
      <c r="B135" s="13" t="s">
        <v>190</v>
      </c>
      <c r="C135" s="13" t="s">
        <v>191</v>
      </c>
      <c r="D135" t="s">
        <v>379</v>
      </c>
      <c r="E135" t="e">
        <f>VLOOKUP(B135,'working space'!F:F,1,FALSE)</f>
        <v>#N/A</v>
      </c>
    </row>
    <row r="136" spans="1:5" ht="97.5" x14ac:dyDescent="0.25">
      <c r="A136">
        <v>135</v>
      </c>
      <c r="B136" s="13" t="s">
        <v>192</v>
      </c>
      <c r="C136" s="13" t="s">
        <v>193</v>
      </c>
      <c r="D136" t="s">
        <v>379</v>
      </c>
      <c r="E136" t="e">
        <f>VLOOKUP(B136,'working space'!F:F,1,FALSE)</f>
        <v>#N/A</v>
      </c>
    </row>
    <row r="137" spans="1:5" ht="97.5" x14ac:dyDescent="0.25">
      <c r="A137">
        <v>136</v>
      </c>
      <c r="B137" s="13" t="s">
        <v>194</v>
      </c>
      <c r="C137" s="13" t="s">
        <v>195</v>
      </c>
      <c r="D137" t="s">
        <v>379</v>
      </c>
      <c r="E137" t="e">
        <f>VLOOKUP(B137,'working space'!F:F,1,FALSE)</f>
        <v>#N/A</v>
      </c>
    </row>
    <row r="138" spans="1:5" ht="97.5" x14ac:dyDescent="0.25">
      <c r="A138">
        <v>137</v>
      </c>
      <c r="B138" s="13" t="s">
        <v>196</v>
      </c>
      <c r="C138" s="13" t="s">
        <v>197</v>
      </c>
      <c r="D138" t="s">
        <v>379</v>
      </c>
      <c r="E138" t="e">
        <f>VLOOKUP(B138,'working space'!F:F,1,FALSE)</f>
        <v>#N/A</v>
      </c>
    </row>
    <row r="139" spans="1:5" ht="78" x14ac:dyDescent="0.25">
      <c r="A139">
        <v>138</v>
      </c>
      <c r="B139" s="13" t="s">
        <v>198</v>
      </c>
      <c r="C139" s="13" t="s">
        <v>199</v>
      </c>
      <c r="D139" t="s">
        <v>379</v>
      </c>
      <c r="E139" t="e">
        <f>VLOOKUP(B139,'working space'!F:F,1,FALSE)</f>
        <v>#N/A</v>
      </c>
    </row>
    <row r="140" spans="1:5" ht="78" x14ac:dyDescent="0.25">
      <c r="A140">
        <v>139</v>
      </c>
      <c r="B140" s="13" t="s">
        <v>200</v>
      </c>
      <c r="C140" s="13" t="s">
        <v>201</v>
      </c>
      <c r="D140" t="s">
        <v>379</v>
      </c>
      <c r="E140" t="e">
        <f>VLOOKUP(B140,'working space'!F:F,1,FALSE)</f>
        <v>#N/A</v>
      </c>
    </row>
    <row r="141" spans="1:5" ht="78" x14ac:dyDescent="0.25">
      <c r="A141">
        <v>140</v>
      </c>
      <c r="B141" s="13" t="s">
        <v>202</v>
      </c>
      <c r="C141" s="13" t="s">
        <v>203</v>
      </c>
      <c r="D141" t="s">
        <v>379</v>
      </c>
      <c r="E141" t="e">
        <f>VLOOKUP(B141,'working space'!F:F,1,FALSE)</f>
        <v>#N/A</v>
      </c>
    </row>
    <row r="142" spans="1:5" ht="78" x14ac:dyDescent="0.25">
      <c r="A142">
        <v>141</v>
      </c>
      <c r="B142" s="13" t="s">
        <v>204</v>
      </c>
      <c r="C142" s="13" t="s">
        <v>205</v>
      </c>
      <c r="D142" t="s">
        <v>379</v>
      </c>
      <c r="E142" t="e">
        <f>VLOOKUP(B142,'working space'!F:F,1,FALSE)</f>
        <v>#N/A</v>
      </c>
    </row>
    <row r="143" spans="1:5" ht="97.5" x14ac:dyDescent="0.25">
      <c r="A143">
        <v>142</v>
      </c>
      <c r="B143" s="13" t="s">
        <v>206</v>
      </c>
      <c r="C143" s="13" t="s">
        <v>207</v>
      </c>
      <c r="D143" t="e">
        <f>VLOOKUP(C143,Temp!A:B,2,FALSE)</f>
        <v>#N/A</v>
      </c>
      <c r="E143" t="e">
        <f>VLOOKUP(B143,'working space'!F:F,1,FALSE)</f>
        <v>#N/A</v>
      </c>
    </row>
    <row r="144" spans="1:5" ht="97.5" x14ac:dyDescent="0.25">
      <c r="A144">
        <v>143</v>
      </c>
      <c r="B144" s="13" t="s">
        <v>208</v>
      </c>
      <c r="C144" s="13" t="s">
        <v>209</v>
      </c>
      <c r="D144" t="e">
        <f>VLOOKUP(C144,Temp!A:B,2,FALSE)</f>
        <v>#N/A</v>
      </c>
      <c r="E144" t="e">
        <f>VLOOKUP(B144,'working space'!F:F,1,FALSE)</f>
        <v>#N/A</v>
      </c>
    </row>
    <row r="145" spans="1:5" ht="117" x14ac:dyDescent="0.25">
      <c r="A145">
        <v>144</v>
      </c>
      <c r="B145" s="13" t="s">
        <v>210</v>
      </c>
      <c r="C145" s="13" t="s">
        <v>211</v>
      </c>
      <c r="D145" t="e">
        <f>VLOOKUP(C145,Temp!A:B,2,FALSE)</f>
        <v>#N/A</v>
      </c>
      <c r="E145" t="e">
        <f>VLOOKUP(B145,'working space'!F:F,1,FALSE)</f>
        <v>#N/A</v>
      </c>
    </row>
    <row r="146" spans="1:5" ht="136.5" x14ac:dyDescent="0.25">
      <c r="A146">
        <v>145</v>
      </c>
      <c r="B146" s="13" t="s">
        <v>212</v>
      </c>
      <c r="C146" s="13" t="s">
        <v>213</v>
      </c>
      <c r="D146" t="e">
        <f>VLOOKUP(C146,Temp!A:B,2,FALSE)</f>
        <v>#N/A</v>
      </c>
      <c r="E146" t="e">
        <f>VLOOKUP(B146,'working space'!F:F,1,FALSE)</f>
        <v>#N/A</v>
      </c>
    </row>
    <row r="147" spans="1:5" ht="97.5" x14ac:dyDescent="0.25">
      <c r="A147">
        <v>146</v>
      </c>
      <c r="B147" s="13" t="s">
        <v>214</v>
      </c>
      <c r="C147" s="13" t="s">
        <v>215</v>
      </c>
      <c r="D147" t="e">
        <f>VLOOKUP(C147,Temp!A:B,2,FALSE)</f>
        <v>#N/A</v>
      </c>
      <c r="E147" t="e">
        <f>VLOOKUP(B147,'working space'!F:F,1,FALSE)</f>
        <v>#N/A</v>
      </c>
    </row>
    <row r="148" spans="1:5" ht="97.5" x14ac:dyDescent="0.25">
      <c r="A148">
        <v>147</v>
      </c>
      <c r="B148" s="13" t="s">
        <v>216</v>
      </c>
      <c r="C148" s="13" t="s">
        <v>217</v>
      </c>
      <c r="D148" t="e">
        <f>VLOOKUP(C148,Temp!A:B,2,FALSE)</f>
        <v>#N/A</v>
      </c>
      <c r="E148" t="e">
        <f>VLOOKUP(B148,'working space'!F:F,1,FALSE)</f>
        <v>#N/A</v>
      </c>
    </row>
    <row r="149" spans="1:5" ht="97.5" x14ac:dyDescent="0.25">
      <c r="A149">
        <v>148</v>
      </c>
      <c r="B149" s="13" t="s">
        <v>218</v>
      </c>
      <c r="C149" s="13" t="s">
        <v>219</v>
      </c>
      <c r="D149" t="e">
        <f>VLOOKUP(C149,Temp!A:B,2,FALSE)</f>
        <v>#N/A</v>
      </c>
      <c r="E149" t="e">
        <f>VLOOKUP(B149,'working space'!F:F,1,FALSE)</f>
        <v>#N/A</v>
      </c>
    </row>
    <row r="150" spans="1:5" ht="58.5" x14ac:dyDescent="0.25">
      <c r="A150">
        <v>149</v>
      </c>
      <c r="B150" s="13" t="s">
        <v>220</v>
      </c>
      <c r="C150" s="13" t="s">
        <v>221</v>
      </c>
      <c r="D150" t="e">
        <f>VLOOKUP(C150,Temp!A:B,2,FALSE)</f>
        <v>#N/A</v>
      </c>
      <c r="E150" t="e">
        <f>VLOOKUP(B150,'working space'!F:F,1,FALSE)</f>
        <v>#N/A</v>
      </c>
    </row>
    <row r="151" spans="1:5" ht="78" x14ac:dyDescent="0.25">
      <c r="A151">
        <v>150</v>
      </c>
      <c r="B151" s="13" t="s">
        <v>222</v>
      </c>
      <c r="C151" s="13" t="s">
        <v>223</v>
      </c>
      <c r="D151" t="e">
        <f>VLOOKUP(C151,Temp!A:B,2,FALSE)</f>
        <v>#N/A</v>
      </c>
      <c r="E151" t="e">
        <f>VLOOKUP(B151,'working space'!F:F,1,FALSE)</f>
        <v>#N/A</v>
      </c>
    </row>
    <row r="152" spans="1:5" ht="58.5" x14ac:dyDescent="0.25">
      <c r="A152">
        <v>151</v>
      </c>
      <c r="B152" s="13" t="s">
        <v>224</v>
      </c>
      <c r="C152" s="13" t="s">
        <v>225</v>
      </c>
      <c r="D152" t="e">
        <f>VLOOKUP(C152,Temp!A:B,2,FALSE)</f>
        <v>#N/A</v>
      </c>
      <c r="E152" t="e">
        <f>VLOOKUP(B152,'working space'!F:F,1,FALSE)</f>
        <v>#N/A</v>
      </c>
    </row>
    <row r="153" spans="1:5" ht="78" x14ac:dyDescent="0.25">
      <c r="A153">
        <v>152</v>
      </c>
      <c r="B153" s="13" t="s">
        <v>226</v>
      </c>
      <c r="C153" s="13" t="s">
        <v>227</v>
      </c>
      <c r="D153" t="e">
        <f>VLOOKUP(C153,Temp!A:B,2,FALSE)</f>
        <v>#N/A</v>
      </c>
      <c r="E153" t="e">
        <f>VLOOKUP(B153,'working space'!F:F,1,FALSE)</f>
        <v>#N/A</v>
      </c>
    </row>
    <row r="154" spans="1:5" ht="97.5" x14ac:dyDescent="0.25">
      <c r="A154">
        <v>153</v>
      </c>
      <c r="B154" s="13" t="s">
        <v>228</v>
      </c>
      <c r="C154" s="13" t="s">
        <v>229</v>
      </c>
      <c r="D154" t="e">
        <f>VLOOKUP(C154,Temp!A:B,2,FALSE)</f>
        <v>#N/A</v>
      </c>
      <c r="E154" t="e">
        <f>VLOOKUP(B154,'working space'!F:F,1,FALSE)</f>
        <v>#N/A</v>
      </c>
    </row>
    <row r="155" spans="1:5" ht="78" x14ac:dyDescent="0.25">
      <c r="A155">
        <v>154</v>
      </c>
      <c r="B155" s="13" t="s">
        <v>230</v>
      </c>
      <c r="C155" s="13" t="s">
        <v>231</v>
      </c>
      <c r="D155" t="e">
        <f>VLOOKUP(C155,Temp!A:B,2,FALSE)</f>
        <v>#N/A</v>
      </c>
      <c r="E155" t="e">
        <f>VLOOKUP(B155,'working space'!F:F,1,FALSE)</f>
        <v>#N/A</v>
      </c>
    </row>
    <row r="156" spans="1:5" ht="78" x14ac:dyDescent="0.25">
      <c r="A156">
        <v>155</v>
      </c>
      <c r="B156" s="13" t="s">
        <v>232</v>
      </c>
      <c r="C156" s="13" t="s">
        <v>233</v>
      </c>
      <c r="D156" t="e">
        <f>VLOOKUP(C156,Temp!A:B,2,FALSE)</f>
        <v>#N/A</v>
      </c>
      <c r="E156" t="e">
        <f>VLOOKUP(B156,'working space'!F:F,1,FALSE)</f>
        <v>#N/A</v>
      </c>
    </row>
    <row r="157" spans="1:5" ht="97.5" x14ac:dyDescent="0.25">
      <c r="A157">
        <v>156</v>
      </c>
      <c r="B157" s="13" t="s">
        <v>234</v>
      </c>
      <c r="C157" s="13" t="s">
        <v>235</v>
      </c>
      <c r="D157" t="e">
        <f>VLOOKUP(C157,Temp!A:B,2,FALSE)</f>
        <v>#N/A</v>
      </c>
      <c r="E157" t="e">
        <f>VLOOKUP(B157,'working space'!F:F,1,FALSE)</f>
        <v>#N/A</v>
      </c>
    </row>
    <row r="158" spans="1:5" ht="78" x14ac:dyDescent="0.25">
      <c r="A158">
        <v>157</v>
      </c>
      <c r="B158" s="13" t="s">
        <v>236</v>
      </c>
      <c r="C158" s="13" t="s">
        <v>237</v>
      </c>
      <c r="D158" t="e">
        <f>VLOOKUP(C158,Temp!A:B,2,FALSE)</f>
        <v>#N/A</v>
      </c>
      <c r="E158" t="e">
        <f>VLOOKUP(B158,'working space'!F:F,1,FALSE)</f>
        <v>#N/A</v>
      </c>
    </row>
    <row r="159" spans="1:5" ht="58.5" x14ac:dyDescent="0.25">
      <c r="A159">
        <v>158</v>
      </c>
      <c r="B159" s="13" t="s">
        <v>238</v>
      </c>
      <c r="C159" s="13" t="s">
        <v>239</v>
      </c>
      <c r="D159" t="e">
        <f>VLOOKUP(C159,Temp!A:B,2,FALSE)</f>
        <v>#N/A</v>
      </c>
      <c r="E159" t="e">
        <f>VLOOKUP(B159,'working space'!F:F,1,FALSE)</f>
        <v>#N/A</v>
      </c>
    </row>
    <row r="160" spans="1:5" ht="58.5" x14ac:dyDescent="0.25">
      <c r="A160">
        <v>159</v>
      </c>
      <c r="B160" s="13" t="s">
        <v>240</v>
      </c>
      <c r="C160" s="13" t="s">
        <v>241</v>
      </c>
      <c r="D160" t="e">
        <f>VLOOKUP(C160,Temp!A:B,2,FALSE)</f>
        <v>#N/A</v>
      </c>
      <c r="E160" t="e">
        <f>VLOOKUP(B160,'working space'!F:F,1,FALSE)</f>
        <v>#N/A</v>
      </c>
    </row>
    <row r="161" spans="1:5" ht="58.5" x14ac:dyDescent="0.25">
      <c r="A161">
        <v>160</v>
      </c>
      <c r="B161" s="13" t="s">
        <v>242</v>
      </c>
      <c r="C161" s="13" t="s">
        <v>243</v>
      </c>
      <c r="D161" t="e">
        <f>VLOOKUP(C161,Temp!A:B,2,FALSE)</f>
        <v>#N/A</v>
      </c>
      <c r="E161" t="e">
        <f>VLOOKUP(B161,'working space'!F:F,1,FALSE)</f>
        <v>#N/A</v>
      </c>
    </row>
    <row r="162" spans="1:5" ht="58.5" x14ac:dyDescent="0.25">
      <c r="A162">
        <v>161</v>
      </c>
      <c r="B162" s="13" t="s">
        <v>244</v>
      </c>
      <c r="C162" s="13" t="s">
        <v>245</v>
      </c>
      <c r="D162" t="e">
        <f>VLOOKUP(C162,Temp!A:B,2,FALSE)</f>
        <v>#N/A</v>
      </c>
      <c r="E162" t="e">
        <f>VLOOKUP(B162,'working space'!F:F,1,FALSE)</f>
        <v>#N/A</v>
      </c>
    </row>
    <row r="163" spans="1:5" ht="58.5" x14ac:dyDescent="0.25">
      <c r="A163">
        <v>162</v>
      </c>
      <c r="B163" s="13" t="s">
        <v>246</v>
      </c>
      <c r="C163" s="13" t="s">
        <v>247</v>
      </c>
      <c r="D163" t="e">
        <f>VLOOKUP(C163,Temp!A:B,2,FALSE)</f>
        <v>#N/A</v>
      </c>
      <c r="E163" t="e">
        <f>VLOOKUP(B163,'working space'!F:F,1,FALSE)</f>
        <v>#N/A</v>
      </c>
    </row>
    <row r="164" spans="1:5" ht="58.5" x14ac:dyDescent="0.25">
      <c r="A164">
        <v>163</v>
      </c>
      <c r="B164" s="13" t="s">
        <v>248</v>
      </c>
      <c r="C164" s="13" t="s">
        <v>249</v>
      </c>
      <c r="D164" t="e">
        <f>VLOOKUP(C164,Temp!A:B,2,FALSE)</f>
        <v>#N/A</v>
      </c>
      <c r="E164" t="e">
        <f>VLOOKUP(B164,'working space'!F:F,1,FALSE)</f>
        <v>#N/A</v>
      </c>
    </row>
    <row r="165" spans="1:5" ht="58.5" x14ac:dyDescent="0.25">
      <c r="A165">
        <v>164</v>
      </c>
      <c r="B165" s="13" t="s">
        <v>250</v>
      </c>
      <c r="C165" s="13" t="s">
        <v>251</v>
      </c>
      <c r="D165" t="e">
        <f>VLOOKUP(C165,Temp!A:B,2,FALSE)</f>
        <v>#N/A</v>
      </c>
      <c r="E165" t="e">
        <f>VLOOKUP(B165,'working space'!F:F,1,FALSE)</f>
        <v>#N/A</v>
      </c>
    </row>
    <row r="166" spans="1:5" ht="78" x14ac:dyDescent="0.25">
      <c r="A166">
        <v>165</v>
      </c>
      <c r="B166" s="13" t="s">
        <v>252</v>
      </c>
      <c r="C166" s="13" t="s">
        <v>253</v>
      </c>
      <c r="D166" t="e">
        <f>VLOOKUP(C166,Temp!A:B,2,FALSE)</f>
        <v>#N/A</v>
      </c>
      <c r="E166" t="e">
        <f>VLOOKUP(B166,'working space'!F:F,1,FALSE)</f>
        <v>#N/A</v>
      </c>
    </row>
    <row r="167" spans="1:5" ht="58.5" x14ac:dyDescent="0.25">
      <c r="A167">
        <v>166</v>
      </c>
      <c r="B167" s="13" t="s">
        <v>254</v>
      </c>
      <c r="C167" s="13" t="s">
        <v>255</v>
      </c>
      <c r="D167" t="e">
        <f>VLOOKUP(C167,Temp!A:B,2,FALSE)</f>
        <v>#N/A</v>
      </c>
      <c r="E167" t="e">
        <f>VLOOKUP(B167,'working space'!F:F,1,FALSE)</f>
        <v>#N/A</v>
      </c>
    </row>
    <row r="168" spans="1:5" ht="58.5" x14ac:dyDescent="0.25">
      <c r="A168">
        <v>167</v>
      </c>
      <c r="B168" s="13" t="s">
        <v>256</v>
      </c>
      <c r="C168" s="13" t="s">
        <v>257</v>
      </c>
      <c r="D168" t="e">
        <f>VLOOKUP(C168,Temp!A:B,2,FALSE)</f>
        <v>#N/A</v>
      </c>
      <c r="E168" t="e">
        <f>VLOOKUP(B168,'working space'!F:F,1,FALSE)</f>
        <v>#N/A</v>
      </c>
    </row>
    <row r="169" spans="1:5" ht="58.5" x14ac:dyDescent="0.25">
      <c r="A169">
        <v>168</v>
      </c>
      <c r="B169" s="13" t="s">
        <v>258</v>
      </c>
      <c r="C169" s="13" t="s">
        <v>259</v>
      </c>
      <c r="D169" t="e">
        <f>VLOOKUP(C169,Temp!A:B,2,FALSE)</f>
        <v>#N/A</v>
      </c>
      <c r="E169" t="e">
        <f>VLOOKUP(B169,'working space'!F:F,1,FALSE)</f>
        <v>#N/A</v>
      </c>
    </row>
    <row r="170" spans="1:5" ht="58.5" x14ac:dyDescent="0.25">
      <c r="A170">
        <v>169</v>
      </c>
      <c r="B170" s="13" t="s">
        <v>260</v>
      </c>
      <c r="C170" s="13" t="s">
        <v>261</v>
      </c>
      <c r="D170" t="e">
        <f>VLOOKUP(C170,Temp!A:B,2,FALSE)</f>
        <v>#N/A</v>
      </c>
      <c r="E170" t="e">
        <f>VLOOKUP(B170,'working space'!F:F,1,FALSE)</f>
        <v>#N/A</v>
      </c>
    </row>
    <row r="171" spans="1:5" ht="58.5" x14ac:dyDescent="0.25">
      <c r="A171">
        <v>170</v>
      </c>
      <c r="B171" s="13" t="s">
        <v>262</v>
      </c>
      <c r="C171" s="13" t="s">
        <v>263</v>
      </c>
      <c r="D171" t="e">
        <f>VLOOKUP(C171,Temp!A:B,2,FALSE)</f>
        <v>#N/A</v>
      </c>
      <c r="E171" t="e">
        <f>VLOOKUP(B171,'working space'!F:F,1,FALSE)</f>
        <v>#N/A</v>
      </c>
    </row>
    <row r="172" spans="1:5" ht="58.5" x14ac:dyDescent="0.25">
      <c r="A172">
        <v>171</v>
      </c>
      <c r="B172" s="13" t="s">
        <v>339</v>
      </c>
      <c r="C172" s="13" t="s">
        <v>340</v>
      </c>
      <c r="D172" t="s">
        <v>1164</v>
      </c>
      <c r="E172" t="e">
        <f>VLOOKUP(B172,'working space'!F:F,1,FALSE)</f>
        <v>#N/A</v>
      </c>
    </row>
    <row r="173" spans="1:5" ht="39" x14ac:dyDescent="0.25">
      <c r="A173">
        <v>172</v>
      </c>
      <c r="B173" s="13" t="s">
        <v>341</v>
      </c>
      <c r="C173" s="13" t="s">
        <v>342</v>
      </c>
      <c r="D173" t="s">
        <v>1164</v>
      </c>
      <c r="E173" t="e">
        <f>VLOOKUP(B173,'working space'!F:F,1,FALSE)</f>
        <v>#N/A</v>
      </c>
    </row>
    <row r="174" spans="1:5" ht="39" x14ac:dyDescent="0.25">
      <c r="A174">
        <v>173</v>
      </c>
      <c r="B174" s="13" t="s">
        <v>343</v>
      </c>
      <c r="C174" s="13" t="s">
        <v>344</v>
      </c>
      <c r="D174" t="s">
        <v>1164</v>
      </c>
      <c r="E174" t="e">
        <f>VLOOKUP(B174,'working space'!F:F,1,FALSE)</f>
        <v>#N/A</v>
      </c>
    </row>
    <row r="175" spans="1:5" ht="39" x14ac:dyDescent="0.25">
      <c r="A175">
        <v>174</v>
      </c>
      <c r="B175" s="13" t="s">
        <v>345</v>
      </c>
      <c r="C175" s="13" t="s">
        <v>346</v>
      </c>
      <c r="D175" t="s">
        <v>1164</v>
      </c>
      <c r="E175" t="e">
        <f>VLOOKUP(B175,'working space'!F:F,1,FALSE)</f>
        <v>#N/A</v>
      </c>
    </row>
    <row r="176" spans="1:5" ht="39" x14ac:dyDescent="0.25">
      <c r="A176">
        <v>175</v>
      </c>
      <c r="B176" s="13" t="s">
        <v>347</v>
      </c>
      <c r="C176" s="13" t="s">
        <v>348</v>
      </c>
      <c r="D176" t="s">
        <v>1164</v>
      </c>
      <c r="E176" t="e">
        <f>VLOOKUP(B176,'working space'!F:F,1,FALSE)</f>
        <v>#N/A</v>
      </c>
    </row>
    <row r="177" spans="1:5" ht="39" x14ac:dyDescent="0.25">
      <c r="A177">
        <v>176</v>
      </c>
      <c r="B177" s="13" t="s">
        <v>349</v>
      </c>
      <c r="C177" s="13" t="s">
        <v>350</v>
      </c>
      <c r="D177" t="s">
        <v>1164</v>
      </c>
      <c r="E177" t="e">
        <f>VLOOKUP(B177,'working space'!F:F,1,FALSE)</f>
        <v>#N/A</v>
      </c>
    </row>
    <row r="178" spans="1:5" ht="39" x14ac:dyDescent="0.25">
      <c r="A178">
        <v>177</v>
      </c>
      <c r="B178" s="13" t="s">
        <v>351</v>
      </c>
      <c r="C178" s="13" t="s">
        <v>352</v>
      </c>
      <c r="D178" t="s">
        <v>1164</v>
      </c>
      <c r="E178" t="e">
        <f>VLOOKUP(B178,'working space'!F:F,1,FALSE)</f>
        <v>#N/A</v>
      </c>
    </row>
    <row r="179" spans="1:5" ht="39" x14ac:dyDescent="0.25">
      <c r="A179">
        <v>178</v>
      </c>
      <c r="B179" s="13" t="s">
        <v>353</v>
      </c>
      <c r="C179" s="13" t="s">
        <v>354</v>
      </c>
      <c r="D179" t="s">
        <v>1164</v>
      </c>
      <c r="E179" t="e">
        <f>VLOOKUP(B179,'working space'!F:F,1,FALSE)</f>
        <v>#N/A</v>
      </c>
    </row>
    <row r="180" spans="1:5" ht="19.5" x14ac:dyDescent="0.25">
      <c r="A180">
        <v>179</v>
      </c>
      <c r="B180" s="13" t="s">
        <v>355</v>
      </c>
      <c r="C180" s="13" t="s">
        <v>356</v>
      </c>
      <c r="D180" t="s">
        <v>1164</v>
      </c>
      <c r="E180" t="e">
        <f>VLOOKUP(B180,'working space'!F:F,1,FALSE)</f>
        <v>#N/A</v>
      </c>
    </row>
    <row r="181" spans="1:5" ht="39" x14ac:dyDescent="0.25">
      <c r="A181">
        <v>180</v>
      </c>
      <c r="B181" s="13" t="s">
        <v>357</v>
      </c>
      <c r="C181" s="13" t="s">
        <v>358</v>
      </c>
      <c r="D181" t="s">
        <v>1164</v>
      </c>
      <c r="E181" t="e">
        <f>VLOOKUP(B181,'working space'!F:F,1,FALSE)</f>
        <v>#N/A</v>
      </c>
    </row>
    <row r="182" spans="1:5" ht="39" x14ac:dyDescent="0.25">
      <c r="A182">
        <v>181</v>
      </c>
      <c r="B182" s="13" t="s">
        <v>359</v>
      </c>
      <c r="C182" s="13" t="s">
        <v>360</v>
      </c>
      <c r="D182" t="s">
        <v>1164</v>
      </c>
      <c r="E182" t="e">
        <f>VLOOKUP(B182,'working space'!F:F,1,FALSE)</f>
        <v>#N/A</v>
      </c>
    </row>
    <row r="183" spans="1:5" ht="39" x14ac:dyDescent="0.25">
      <c r="A183">
        <v>182</v>
      </c>
      <c r="B183" s="13" t="s">
        <v>361</v>
      </c>
      <c r="C183" s="13" t="s">
        <v>362</v>
      </c>
      <c r="D183" t="s">
        <v>1164</v>
      </c>
      <c r="E183" t="e">
        <f>VLOOKUP(B183,'working space'!F:F,1,FALSE)</f>
        <v>#N/A</v>
      </c>
    </row>
    <row r="184" spans="1:5" ht="97.5" x14ac:dyDescent="0.25">
      <c r="A184">
        <v>183</v>
      </c>
      <c r="B184" s="13" t="s">
        <v>363</v>
      </c>
      <c r="C184" s="13" t="s">
        <v>364</v>
      </c>
      <c r="D184" t="s">
        <v>1164</v>
      </c>
      <c r="E184" t="e">
        <f>VLOOKUP(B184,'working space'!F:F,1,FALSE)</f>
        <v>#N/A</v>
      </c>
    </row>
    <row r="185" spans="1:5" ht="78" x14ac:dyDescent="0.25">
      <c r="A185">
        <v>184</v>
      </c>
      <c r="B185" s="13" t="s">
        <v>365</v>
      </c>
      <c r="C185" s="13" t="s">
        <v>366</v>
      </c>
      <c r="D185" t="s">
        <v>1164</v>
      </c>
      <c r="E185" t="e">
        <f>VLOOKUP(B185,'working space'!F:F,1,FALSE)</f>
        <v>#N/A</v>
      </c>
    </row>
    <row r="186" spans="1:5" ht="78" x14ac:dyDescent="0.25">
      <c r="A186">
        <v>185</v>
      </c>
      <c r="B186" s="13" t="s">
        <v>367</v>
      </c>
      <c r="C186" s="13" t="s">
        <v>368</v>
      </c>
      <c r="D186" t="s">
        <v>1164</v>
      </c>
      <c r="E186" t="e">
        <f>VLOOKUP(B186,'working space'!F:F,1,FALSE)</f>
        <v>#N/A</v>
      </c>
    </row>
    <row r="187" spans="1:5" ht="78" x14ac:dyDescent="0.25">
      <c r="A187">
        <v>186</v>
      </c>
      <c r="B187" s="13" t="s">
        <v>369</v>
      </c>
      <c r="C187" s="13" t="s">
        <v>370</v>
      </c>
      <c r="D187" t="s">
        <v>1164</v>
      </c>
      <c r="E187" t="e">
        <f>VLOOKUP(B187,'working space'!F:F,1,FALSE)</f>
        <v>#N/A</v>
      </c>
    </row>
    <row r="188" spans="1:5" ht="97.5" x14ac:dyDescent="0.25">
      <c r="A188">
        <v>187</v>
      </c>
      <c r="B188" s="13" t="s">
        <v>371</v>
      </c>
      <c r="C188" s="13" t="s">
        <v>372</v>
      </c>
      <c r="D188" t="s">
        <v>1164</v>
      </c>
      <c r="E188" t="e">
        <f>VLOOKUP(B188,'working space'!F:F,1,FALSE)</f>
        <v>#N/A</v>
      </c>
    </row>
    <row r="189" spans="1:5" ht="97.5" x14ac:dyDescent="0.25">
      <c r="A189">
        <v>188</v>
      </c>
      <c r="B189" s="13" t="s">
        <v>373</v>
      </c>
      <c r="C189" s="13" t="s">
        <v>374</v>
      </c>
      <c r="D189" t="s">
        <v>1164</v>
      </c>
      <c r="E189" t="e">
        <f>VLOOKUP(B189,'working space'!F:F,1,FALSE)</f>
        <v>#N/A</v>
      </c>
    </row>
    <row r="190" spans="1:5" ht="58.5" x14ac:dyDescent="0.25">
      <c r="A190">
        <v>189</v>
      </c>
      <c r="B190" s="13" t="s">
        <v>387</v>
      </c>
      <c r="C190" s="13" t="s">
        <v>388</v>
      </c>
      <c r="D190" t="s">
        <v>1165</v>
      </c>
      <c r="E190" t="e">
        <f>VLOOKUP(B190,'working space'!F:F,1,FALSE)</f>
        <v>#N/A</v>
      </c>
    </row>
    <row r="191" spans="1:5" ht="78" x14ac:dyDescent="0.25">
      <c r="A191">
        <v>190</v>
      </c>
      <c r="B191" s="13" t="s">
        <v>389</v>
      </c>
      <c r="C191" s="13" t="s">
        <v>390</v>
      </c>
      <c r="D191" t="s">
        <v>1165</v>
      </c>
      <c r="E191" t="e">
        <f>VLOOKUP(B191,'working space'!F:F,1,FALSE)</f>
        <v>#N/A</v>
      </c>
    </row>
    <row r="192" spans="1:5" ht="58.5" x14ac:dyDescent="0.25">
      <c r="A192">
        <v>191</v>
      </c>
      <c r="B192" s="13" t="s">
        <v>391</v>
      </c>
      <c r="C192" s="13" t="s">
        <v>392</v>
      </c>
      <c r="D192" t="s">
        <v>1165</v>
      </c>
      <c r="E192" t="e">
        <f>VLOOKUP(B192,'working space'!F:F,1,FALSE)</f>
        <v>#N/A</v>
      </c>
    </row>
    <row r="193" spans="1:5" ht="78" x14ac:dyDescent="0.25">
      <c r="A193">
        <v>192</v>
      </c>
      <c r="B193" s="13" t="s">
        <v>393</v>
      </c>
      <c r="C193" s="13" t="s">
        <v>394</v>
      </c>
      <c r="D193" t="s">
        <v>1165</v>
      </c>
      <c r="E193" t="e">
        <f>VLOOKUP(B193,'working space'!F:F,1,FALSE)</f>
        <v>#N/A</v>
      </c>
    </row>
    <row r="194" spans="1:5" ht="58.5" x14ac:dyDescent="0.25">
      <c r="A194">
        <v>193</v>
      </c>
      <c r="B194" s="13" t="s">
        <v>395</v>
      </c>
      <c r="C194" s="13" t="s">
        <v>396</v>
      </c>
      <c r="D194" t="s">
        <v>1165</v>
      </c>
      <c r="E194" t="e">
        <f>VLOOKUP(B194,'working space'!F:F,1,FALSE)</f>
        <v>#N/A</v>
      </c>
    </row>
    <row r="195" spans="1:5" ht="58.5" x14ac:dyDescent="0.25">
      <c r="A195">
        <v>194</v>
      </c>
      <c r="B195" s="13" t="s">
        <v>397</v>
      </c>
      <c r="C195" s="13" t="s">
        <v>398</v>
      </c>
      <c r="D195" t="s">
        <v>1165</v>
      </c>
      <c r="E195" t="e">
        <f>VLOOKUP(B195,'working space'!F:F,1,FALSE)</f>
        <v>#N/A</v>
      </c>
    </row>
    <row r="196" spans="1:5" ht="58.5" x14ac:dyDescent="0.25">
      <c r="A196">
        <v>195</v>
      </c>
      <c r="B196" s="13" t="s">
        <v>399</v>
      </c>
      <c r="C196" s="13" t="s">
        <v>400</v>
      </c>
      <c r="D196" t="s">
        <v>1165</v>
      </c>
      <c r="E196" t="e">
        <f>VLOOKUP(B196,'working space'!F:F,1,FALSE)</f>
        <v>#N/A</v>
      </c>
    </row>
    <row r="197" spans="1:5" ht="58.5" x14ac:dyDescent="0.25">
      <c r="A197">
        <v>196</v>
      </c>
      <c r="B197" s="13" t="s">
        <v>401</v>
      </c>
      <c r="C197" s="13" t="s">
        <v>402</v>
      </c>
      <c r="D197" t="s">
        <v>1165</v>
      </c>
      <c r="E197" t="e">
        <f>VLOOKUP(B197,'working space'!F:F,1,FALSE)</f>
        <v>#N/A</v>
      </c>
    </row>
    <row r="198" spans="1:5" ht="78" x14ac:dyDescent="0.25">
      <c r="A198">
        <v>197</v>
      </c>
      <c r="B198" s="13" t="s">
        <v>403</v>
      </c>
      <c r="C198" s="13" t="s">
        <v>404</v>
      </c>
      <c r="D198" t="s">
        <v>1165</v>
      </c>
      <c r="E198" t="e">
        <f>VLOOKUP(B198,'working space'!F:F,1,FALSE)</f>
        <v>#N/A</v>
      </c>
    </row>
    <row r="199" spans="1:5" ht="78" x14ac:dyDescent="0.25">
      <c r="A199">
        <v>198</v>
      </c>
      <c r="B199" s="13" t="s">
        <v>405</v>
      </c>
      <c r="C199" s="13" t="s">
        <v>406</v>
      </c>
      <c r="D199" t="s">
        <v>1165</v>
      </c>
      <c r="E199" t="e">
        <f>VLOOKUP(B199,'working space'!F:F,1,FALSE)</f>
        <v>#N/A</v>
      </c>
    </row>
    <row r="200" spans="1:5" ht="78" x14ac:dyDescent="0.25">
      <c r="A200">
        <v>199</v>
      </c>
      <c r="B200" s="13" t="s">
        <v>407</v>
      </c>
      <c r="C200" s="13" t="s">
        <v>408</v>
      </c>
      <c r="D200" t="s">
        <v>1165</v>
      </c>
      <c r="E200" t="e">
        <f>VLOOKUP(B200,'working space'!F:F,1,FALSE)</f>
        <v>#N/A</v>
      </c>
    </row>
    <row r="201" spans="1:5" ht="78" x14ac:dyDescent="0.25">
      <c r="A201">
        <v>200</v>
      </c>
      <c r="B201" s="13" t="s">
        <v>409</v>
      </c>
      <c r="C201" s="13" t="s">
        <v>410</v>
      </c>
      <c r="D201" t="s">
        <v>1165</v>
      </c>
      <c r="E201" t="e">
        <f>VLOOKUP(B201,'working space'!F:F,1,FALSE)</f>
        <v>#N/A</v>
      </c>
    </row>
    <row r="202" spans="1:5" ht="78" x14ac:dyDescent="0.25">
      <c r="A202">
        <v>201</v>
      </c>
      <c r="B202" s="13" t="s">
        <v>411</v>
      </c>
      <c r="C202" s="13" t="s">
        <v>412</v>
      </c>
      <c r="D202" t="s">
        <v>1165</v>
      </c>
      <c r="E202" t="e">
        <f>VLOOKUP(B202,'working space'!F:F,1,FALSE)</f>
        <v>#N/A</v>
      </c>
    </row>
    <row r="203" spans="1:5" ht="78" x14ac:dyDescent="0.25">
      <c r="A203">
        <v>202</v>
      </c>
      <c r="B203" s="13" t="s">
        <v>413</v>
      </c>
      <c r="C203" s="13" t="s">
        <v>414</v>
      </c>
      <c r="D203" t="s">
        <v>1165</v>
      </c>
      <c r="E203" t="e">
        <f>VLOOKUP(B203,'working space'!F:F,1,FALSE)</f>
        <v>#N/A</v>
      </c>
    </row>
    <row r="204" spans="1:5" ht="78" x14ac:dyDescent="0.25">
      <c r="A204">
        <v>203</v>
      </c>
      <c r="B204" s="13" t="s">
        <v>415</v>
      </c>
      <c r="C204" s="13" t="s">
        <v>416</v>
      </c>
      <c r="D204" t="s">
        <v>1165</v>
      </c>
      <c r="E204" t="e">
        <f>VLOOKUP(B204,'working space'!F:F,1,FALSE)</f>
        <v>#N/A</v>
      </c>
    </row>
    <row r="205" spans="1:5" ht="78" x14ac:dyDescent="0.25">
      <c r="A205">
        <v>204</v>
      </c>
      <c r="B205" s="13" t="s">
        <v>417</v>
      </c>
      <c r="C205" s="13" t="s">
        <v>418</v>
      </c>
      <c r="D205" t="s">
        <v>1165</v>
      </c>
      <c r="E205" t="e">
        <f>VLOOKUP(B205,'working space'!F:F,1,FALSE)</f>
        <v>#N/A</v>
      </c>
    </row>
    <row r="206" spans="1:5" ht="78" x14ac:dyDescent="0.25">
      <c r="A206">
        <v>205</v>
      </c>
      <c r="B206" s="13" t="s">
        <v>419</v>
      </c>
      <c r="C206" s="13" t="s">
        <v>420</v>
      </c>
      <c r="D206" t="s">
        <v>1165</v>
      </c>
      <c r="E206" t="e">
        <f>VLOOKUP(B206,'working space'!F:F,1,FALSE)</f>
        <v>#N/A</v>
      </c>
    </row>
    <row r="207" spans="1:5" ht="78" x14ac:dyDescent="0.25">
      <c r="A207">
        <v>206</v>
      </c>
      <c r="B207" s="13" t="s">
        <v>421</v>
      </c>
      <c r="C207" s="13" t="s">
        <v>422</v>
      </c>
      <c r="D207" t="s">
        <v>1165</v>
      </c>
      <c r="E207" t="e">
        <f>VLOOKUP(B207,'working space'!F:F,1,FALSE)</f>
        <v>#N/A</v>
      </c>
    </row>
    <row r="208" spans="1:5" ht="78" x14ac:dyDescent="0.25">
      <c r="A208">
        <v>207</v>
      </c>
      <c r="B208" s="13" t="s">
        <v>423</v>
      </c>
      <c r="C208" s="13" t="s">
        <v>424</v>
      </c>
      <c r="D208" t="s">
        <v>1165</v>
      </c>
      <c r="E208" t="e">
        <f>VLOOKUP(B208,'working space'!F:F,1,FALSE)</f>
        <v>#N/A</v>
      </c>
    </row>
    <row r="209" spans="1:5" ht="78" x14ac:dyDescent="0.25">
      <c r="A209">
        <v>208</v>
      </c>
      <c r="B209" s="13" t="s">
        <v>425</v>
      </c>
      <c r="C209" s="13" t="s">
        <v>426</v>
      </c>
      <c r="D209" t="s">
        <v>1165</v>
      </c>
      <c r="E209" t="e">
        <f>VLOOKUP(B209,'working space'!F:F,1,FALSE)</f>
        <v>#N/A</v>
      </c>
    </row>
    <row r="210" spans="1:5" ht="78" x14ac:dyDescent="0.25">
      <c r="A210">
        <v>209</v>
      </c>
      <c r="B210" s="13" t="s">
        <v>427</v>
      </c>
      <c r="C210" s="13" t="s">
        <v>428</v>
      </c>
      <c r="D210" t="s">
        <v>1165</v>
      </c>
      <c r="E210" t="e">
        <f>VLOOKUP(B210,'working space'!F:F,1,FALSE)</f>
        <v>#N/A</v>
      </c>
    </row>
    <row r="211" spans="1:5" ht="78" x14ac:dyDescent="0.25">
      <c r="A211">
        <v>210</v>
      </c>
      <c r="B211" s="13" t="s">
        <v>429</v>
      </c>
      <c r="C211" s="13" t="s">
        <v>430</v>
      </c>
      <c r="D211" t="s">
        <v>1165</v>
      </c>
      <c r="E211" t="e">
        <f>VLOOKUP(B211,'working space'!F:F,1,FALSE)</f>
        <v>#N/A</v>
      </c>
    </row>
    <row r="212" spans="1:5" ht="78" x14ac:dyDescent="0.25">
      <c r="A212">
        <v>211</v>
      </c>
      <c r="B212" s="13" t="s">
        <v>431</v>
      </c>
      <c r="C212" s="13" t="s">
        <v>432</v>
      </c>
      <c r="D212" t="s">
        <v>1165</v>
      </c>
      <c r="E212" t="e">
        <f>VLOOKUP(B212,'working space'!F:F,1,FALSE)</f>
        <v>#N/A</v>
      </c>
    </row>
    <row r="213" spans="1:5" ht="78" x14ac:dyDescent="0.25">
      <c r="A213">
        <v>212</v>
      </c>
      <c r="B213" s="13" t="s">
        <v>433</v>
      </c>
      <c r="C213" s="13" t="s">
        <v>434</v>
      </c>
      <c r="D213" t="s">
        <v>1165</v>
      </c>
      <c r="E213" t="e">
        <f>VLOOKUP(B213,'working space'!F:F,1,FALSE)</f>
        <v>#N/A</v>
      </c>
    </row>
    <row r="214" spans="1:5" ht="78" x14ac:dyDescent="0.25">
      <c r="A214">
        <v>213</v>
      </c>
      <c r="B214" s="13" t="s">
        <v>435</v>
      </c>
      <c r="C214" s="13" t="s">
        <v>436</v>
      </c>
      <c r="D214" t="s">
        <v>1165</v>
      </c>
      <c r="E214" t="e">
        <f>VLOOKUP(B214,'working space'!F:F,1,FALSE)</f>
        <v>#N/A</v>
      </c>
    </row>
    <row r="215" spans="1:5" ht="78" x14ac:dyDescent="0.25">
      <c r="A215">
        <v>214</v>
      </c>
      <c r="B215" s="13" t="s">
        <v>437</v>
      </c>
      <c r="C215" s="13" t="s">
        <v>438</v>
      </c>
      <c r="D215" t="s">
        <v>1165</v>
      </c>
      <c r="E215" t="e">
        <f>VLOOKUP(B215,'working space'!F:F,1,FALSE)</f>
        <v>#N/A</v>
      </c>
    </row>
    <row r="216" spans="1:5" ht="58.5" x14ac:dyDescent="0.25">
      <c r="A216">
        <v>215</v>
      </c>
      <c r="B216" s="13" t="s">
        <v>439</v>
      </c>
      <c r="C216" s="13" t="s">
        <v>440</v>
      </c>
      <c r="D216" t="s">
        <v>1165</v>
      </c>
      <c r="E216" t="e">
        <f>VLOOKUP(B216,'working space'!F:F,1,FALSE)</f>
        <v>#N/A</v>
      </c>
    </row>
    <row r="217" spans="1:5" ht="58.5" x14ac:dyDescent="0.25">
      <c r="A217">
        <v>216</v>
      </c>
      <c r="B217" s="13" t="s">
        <v>441</v>
      </c>
      <c r="C217" s="13" t="s">
        <v>442</v>
      </c>
      <c r="D217" t="s">
        <v>1165</v>
      </c>
      <c r="E217" t="e">
        <f>VLOOKUP(B217,'working space'!F:F,1,FALSE)</f>
        <v>#N/A</v>
      </c>
    </row>
    <row r="218" spans="1:5" ht="58.5" x14ac:dyDescent="0.25">
      <c r="A218">
        <v>217</v>
      </c>
      <c r="B218" s="13" t="s">
        <v>443</v>
      </c>
      <c r="C218" s="13" t="s">
        <v>444</v>
      </c>
      <c r="D218" t="s">
        <v>1165</v>
      </c>
      <c r="E218" t="e">
        <f>VLOOKUP(B218,'working space'!F:F,1,FALSE)</f>
        <v>#N/A</v>
      </c>
    </row>
    <row r="219" spans="1:5" ht="58.5" x14ac:dyDescent="0.25">
      <c r="A219">
        <v>218</v>
      </c>
      <c r="B219" s="13" t="s">
        <v>445</v>
      </c>
      <c r="C219" s="13" t="s">
        <v>446</v>
      </c>
      <c r="D219" t="s">
        <v>1165</v>
      </c>
      <c r="E219" t="e">
        <f>VLOOKUP(B219,'working space'!F:F,1,FALSE)</f>
        <v>#N/A</v>
      </c>
    </row>
    <row r="220" spans="1:5" ht="58.5" x14ac:dyDescent="0.25">
      <c r="A220">
        <v>219</v>
      </c>
      <c r="B220" s="13" t="s">
        <v>447</v>
      </c>
      <c r="C220" s="13" t="s">
        <v>448</v>
      </c>
      <c r="D220" t="s">
        <v>1165</v>
      </c>
      <c r="E220" t="e">
        <f>VLOOKUP(B220,'working space'!F:F,1,FALSE)</f>
        <v>#N/A</v>
      </c>
    </row>
    <row r="221" spans="1:5" ht="58.5" x14ac:dyDescent="0.25">
      <c r="A221">
        <v>220</v>
      </c>
      <c r="B221" s="13" t="s">
        <v>449</v>
      </c>
      <c r="C221" s="13" t="s">
        <v>450</v>
      </c>
      <c r="D221" t="s">
        <v>1165</v>
      </c>
      <c r="E221" t="e">
        <f>VLOOKUP(B221,'working space'!F:F,1,FALSE)</f>
        <v>#N/A</v>
      </c>
    </row>
    <row r="222" spans="1:5" ht="58.5" x14ac:dyDescent="0.25">
      <c r="A222">
        <v>221</v>
      </c>
      <c r="B222" s="13" t="s">
        <v>451</v>
      </c>
      <c r="C222" s="13" t="s">
        <v>452</v>
      </c>
      <c r="D222" t="s">
        <v>1165</v>
      </c>
      <c r="E222" t="e">
        <f>VLOOKUP(B222,'working space'!F:F,1,FALSE)</f>
        <v>#N/A</v>
      </c>
    </row>
    <row r="223" spans="1:5" ht="58.5" x14ac:dyDescent="0.25">
      <c r="A223">
        <v>222</v>
      </c>
      <c r="B223" s="13" t="s">
        <v>453</v>
      </c>
      <c r="C223" s="13" t="s">
        <v>454</v>
      </c>
      <c r="D223" t="s">
        <v>1165</v>
      </c>
      <c r="E223" t="e">
        <f>VLOOKUP(B223,'working space'!F:F,1,FALSE)</f>
        <v>#N/A</v>
      </c>
    </row>
    <row r="224" spans="1:5" ht="78" x14ac:dyDescent="0.25">
      <c r="A224">
        <v>223</v>
      </c>
      <c r="B224" s="13" t="s">
        <v>455</v>
      </c>
      <c r="C224" s="13" t="s">
        <v>456</v>
      </c>
      <c r="D224" t="s">
        <v>1165</v>
      </c>
      <c r="E224" t="e">
        <f>VLOOKUP(B224,'working space'!F:F,1,FALSE)</f>
        <v>#N/A</v>
      </c>
    </row>
    <row r="225" spans="1:5" ht="78" x14ac:dyDescent="0.25">
      <c r="A225">
        <v>224</v>
      </c>
      <c r="B225" s="13" t="s">
        <v>457</v>
      </c>
      <c r="C225" s="13" t="s">
        <v>458</v>
      </c>
      <c r="D225" t="s">
        <v>1165</v>
      </c>
      <c r="E225" t="e">
        <f>VLOOKUP(B225,'working space'!F:F,1,FALSE)</f>
        <v>#N/A</v>
      </c>
    </row>
    <row r="226" spans="1:5" ht="136.5" x14ac:dyDescent="0.25">
      <c r="A226">
        <v>225</v>
      </c>
      <c r="B226" s="13" t="s">
        <v>459</v>
      </c>
      <c r="C226" s="13" t="s">
        <v>460</v>
      </c>
      <c r="D226" t="s">
        <v>1165</v>
      </c>
      <c r="E226" t="e">
        <f>VLOOKUP(B226,'working space'!F:F,1,FALSE)</f>
        <v>#N/A</v>
      </c>
    </row>
    <row r="227" spans="1:5" ht="78" x14ac:dyDescent="0.25">
      <c r="A227">
        <v>226</v>
      </c>
      <c r="B227" s="13" t="s">
        <v>461</v>
      </c>
      <c r="C227" s="13" t="s">
        <v>462</v>
      </c>
      <c r="D227" t="s">
        <v>1165</v>
      </c>
      <c r="E227" t="e">
        <f>VLOOKUP(B227,'working space'!F:F,1,FALSE)</f>
        <v>#N/A</v>
      </c>
    </row>
    <row r="228" spans="1:5" ht="78" x14ac:dyDescent="0.25">
      <c r="A228">
        <v>227</v>
      </c>
      <c r="B228" s="13" t="s">
        <v>463</v>
      </c>
      <c r="C228" s="13" t="s">
        <v>464</v>
      </c>
      <c r="D228" t="s">
        <v>1165</v>
      </c>
      <c r="E228" t="e">
        <f>VLOOKUP(B228,'working space'!F:F,1,FALSE)</f>
        <v>#N/A</v>
      </c>
    </row>
    <row r="229" spans="1:5" ht="78" x14ac:dyDescent="0.25">
      <c r="A229">
        <v>228</v>
      </c>
      <c r="B229" s="13" t="s">
        <v>465</v>
      </c>
      <c r="C229" s="13" t="s">
        <v>466</v>
      </c>
      <c r="D229" t="s">
        <v>1165</v>
      </c>
      <c r="E229" t="e">
        <f>VLOOKUP(B229,'working space'!F:F,1,FALSE)</f>
        <v>#N/A</v>
      </c>
    </row>
    <row r="230" spans="1:5" ht="78" x14ac:dyDescent="0.25">
      <c r="A230">
        <v>229</v>
      </c>
      <c r="B230" s="13" t="s">
        <v>467</v>
      </c>
      <c r="C230" s="13" t="s">
        <v>468</v>
      </c>
      <c r="D230" t="s">
        <v>1165</v>
      </c>
      <c r="E230" t="e">
        <f>VLOOKUP(B230,'working space'!F:F,1,FALSE)</f>
        <v>#N/A</v>
      </c>
    </row>
    <row r="231" spans="1:5" ht="117" x14ac:dyDescent="0.25">
      <c r="A231">
        <v>230</v>
      </c>
      <c r="B231" s="13" t="s">
        <v>469</v>
      </c>
      <c r="C231" s="13" t="s">
        <v>470</v>
      </c>
      <c r="D231" t="s">
        <v>1163</v>
      </c>
      <c r="E231" t="e">
        <f>VLOOKUP(B231,'working space'!F:F,1,FALSE)</f>
        <v>#N/A</v>
      </c>
    </row>
    <row r="232" spans="1:5" ht="97.5" x14ac:dyDescent="0.25">
      <c r="A232">
        <v>231</v>
      </c>
      <c r="B232" s="13" t="s">
        <v>471</v>
      </c>
      <c r="C232" s="13" t="s">
        <v>472</v>
      </c>
      <c r="D232" t="s">
        <v>1163</v>
      </c>
      <c r="E232" t="e">
        <f>VLOOKUP(B232,'working space'!F:F,1,FALSE)</f>
        <v>#N/A</v>
      </c>
    </row>
    <row r="233" spans="1:5" ht="117" x14ac:dyDescent="0.25">
      <c r="A233">
        <v>232</v>
      </c>
      <c r="B233" s="13" t="s">
        <v>473</v>
      </c>
      <c r="C233" s="13" t="s">
        <v>474</v>
      </c>
      <c r="D233" t="s">
        <v>1163</v>
      </c>
      <c r="E233" t="e">
        <f>VLOOKUP(B233,'working space'!F:F,1,FALSE)</f>
        <v>#N/A</v>
      </c>
    </row>
    <row r="234" spans="1:5" ht="117" x14ac:dyDescent="0.25">
      <c r="A234">
        <v>233</v>
      </c>
      <c r="B234" s="13" t="s">
        <v>475</v>
      </c>
      <c r="C234" s="13" t="s">
        <v>476</v>
      </c>
      <c r="D234" t="s">
        <v>1163</v>
      </c>
      <c r="E234" t="e">
        <f>VLOOKUP(B234,'working space'!F:F,1,FALSE)</f>
        <v>#N/A</v>
      </c>
    </row>
    <row r="235" spans="1:5" ht="78" x14ac:dyDescent="0.25">
      <c r="A235">
        <v>234</v>
      </c>
      <c r="B235" s="13" t="s">
        <v>477</v>
      </c>
      <c r="C235" s="13" t="s">
        <v>478</v>
      </c>
      <c r="D235" t="s">
        <v>1163</v>
      </c>
      <c r="E235" t="e">
        <f>VLOOKUP(B235,'working space'!F:F,1,FALSE)</f>
        <v>#N/A</v>
      </c>
    </row>
    <row r="236" spans="1:5" ht="58.5" x14ac:dyDescent="0.25">
      <c r="A236">
        <v>235</v>
      </c>
      <c r="B236" s="13" t="s">
        <v>479</v>
      </c>
      <c r="C236" s="13" t="s">
        <v>480</v>
      </c>
      <c r="D236" t="s">
        <v>1163</v>
      </c>
      <c r="E236" t="e">
        <f>VLOOKUP(B236,'working space'!F:F,1,FALSE)</f>
        <v>#N/A</v>
      </c>
    </row>
    <row r="237" spans="1:5" ht="78" x14ac:dyDescent="0.25">
      <c r="A237">
        <v>236</v>
      </c>
      <c r="B237" s="13" t="s">
        <v>481</v>
      </c>
      <c r="C237" s="13" t="s">
        <v>482</v>
      </c>
      <c r="D237" t="s">
        <v>1163</v>
      </c>
      <c r="E237" t="e">
        <f>VLOOKUP(B237,'working space'!F:F,1,FALSE)</f>
        <v>#N/A</v>
      </c>
    </row>
    <row r="238" spans="1:5" ht="78" x14ac:dyDescent="0.25">
      <c r="A238">
        <v>237</v>
      </c>
      <c r="B238" s="13" t="s">
        <v>483</v>
      </c>
      <c r="C238" s="13" t="s">
        <v>484</v>
      </c>
      <c r="D238" t="s">
        <v>1163</v>
      </c>
      <c r="E238" t="e">
        <f>VLOOKUP(B238,'working space'!F:F,1,FALSE)</f>
        <v>#N/A</v>
      </c>
    </row>
    <row r="239" spans="1:5" ht="58.5" x14ac:dyDescent="0.25">
      <c r="A239">
        <v>238</v>
      </c>
      <c r="B239" s="13" t="s">
        <v>485</v>
      </c>
      <c r="C239" s="13" t="s">
        <v>486</v>
      </c>
      <c r="D239" t="s">
        <v>1163</v>
      </c>
      <c r="E239" t="e">
        <f>VLOOKUP(B239,'working space'!F:F,1,FALSE)</f>
        <v>#N/A</v>
      </c>
    </row>
    <row r="240" spans="1:5" ht="58.5" x14ac:dyDescent="0.25">
      <c r="A240">
        <v>239</v>
      </c>
      <c r="B240" s="13" t="s">
        <v>487</v>
      </c>
      <c r="C240" s="13" t="s">
        <v>488</v>
      </c>
      <c r="D240" t="s">
        <v>1163</v>
      </c>
      <c r="E240" t="e">
        <f>VLOOKUP(B240,'working space'!F:F,1,FALSE)</f>
        <v>#N/A</v>
      </c>
    </row>
    <row r="241" spans="1:5" ht="58.5" x14ac:dyDescent="0.25">
      <c r="A241">
        <v>240</v>
      </c>
      <c r="B241" s="13" t="s">
        <v>489</v>
      </c>
      <c r="C241" s="13" t="s">
        <v>490</v>
      </c>
      <c r="D241" t="s">
        <v>1163</v>
      </c>
      <c r="E241" t="e">
        <f>VLOOKUP(B241,'working space'!F:F,1,FALSE)</f>
        <v>#N/A</v>
      </c>
    </row>
    <row r="242" spans="1:5" ht="19.5" x14ac:dyDescent="0.25">
      <c r="A242">
        <v>241</v>
      </c>
      <c r="B242" s="13" t="s">
        <v>491</v>
      </c>
      <c r="C242" s="13" t="s">
        <v>492</v>
      </c>
      <c r="D242" t="s">
        <v>1163</v>
      </c>
      <c r="E242" t="e">
        <f>VLOOKUP(B242,'working space'!F:F,1,FALSE)</f>
        <v>#N/A</v>
      </c>
    </row>
    <row r="243" spans="1:5" ht="39" x14ac:dyDescent="0.25">
      <c r="A243">
        <v>242</v>
      </c>
      <c r="B243" s="13" t="s">
        <v>493</v>
      </c>
      <c r="C243" s="13" t="s">
        <v>494</v>
      </c>
      <c r="D243" t="s">
        <v>1163</v>
      </c>
      <c r="E243" t="e">
        <f>VLOOKUP(B243,'working space'!F:F,1,FALSE)</f>
        <v>#N/A</v>
      </c>
    </row>
    <row r="244" spans="1:5" ht="19.5" x14ac:dyDescent="0.25">
      <c r="A244">
        <v>243</v>
      </c>
      <c r="B244" s="13" t="s">
        <v>495</v>
      </c>
      <c r="C244" s="13" t="s">
        <v>496</v>
      </c>
      <c r="D244" t="s">
        <v>1163</v>
      </c>
      <c r="E244" t="e">
        <f>VLOOKUP(B244,'working space'!F:F,1,FALSE)</f>
        <v>#N/A</v>
      </c>
    </row>
    <row r="245" spans="1:5" ht="39" x14ac:dyDescent="0.25">
      <c r="A245">
        <v>244</v>
      </c>
      <c r="B245" s="13" t="s">
        <v>497</v>
      </c>
      <c r="C245" s="13" t="s">
        <v>498</v>
      </c>
      <c r="D245" t="s">
        <v>1163</v>
      </c>
      <c r="E245" t="e">
        <f>VLOOKUP(B245,'working space'!F:F,1,FALSE)</f>
        <v>#N/A</v>
      </c>
    </row>
    <row r="246" spans="1:5" ht="39" x14ac:dyDescent="0.25">
      <c r="A246">
        <v>245</v>
      </c>
      <c r="B246" s="13" t="s">
        <v>499</v>
      </c>
      <c r="C246" s="13" t="s">
        <v>500</v>
      </c>
      <c r="D246" t="s">
        <v>1163</v>
      </c>
      <c r="E246" t="e">
        <f>VLOOKUP(B246,'working space'!F:F,1,FALSE)</f>
        <v>#N/A</v>
      </c>
    </row>
    <row r="247" spans="1:5" ht="39" x14ac:dyDescent="0.25">
      <c r="A247">
        <v>246</v>
      </c>
      <c r="B247" s="13" t="s">
        <v>501</v>
      </c>
      <c r="C247" s="13" t="s">
        <v>502</v>
      </c>
      <c r="D247" t="s">
        <v>1163</v>
      </c>
      <c r="E247" t="e">
        <f>VLOOKUP(B247,'working space'!F:F,1,FALSE)</f>
        <v>#N/A</v>
      </c>
    </row>
    <row r="248" spans="1:5" ht="39" x14ac:dyDescent="0.25">
      <c r="A248">
        <v>247</v>
      </c>
      <c r="B248" s="13" t="s">
        <v>503</v>
      </c>
      <c r="C248" s="13" t="s">
        <v>504</v>
      </c>
      <c r="D248" t="s">
        <v>1163</v>
      </c>
      <c r="E248" t="e">
        <f>VLOOKUP(B248,'working space'!F:F,1,FALSE)</f>
        <v>#N/A</v>
      </c>
    </row>
    <row r="249" spans="1:5" ht="58.5" x14ac:dyDescent="0.25">
      <c r="A249">
        <v>248</v>
      </c>
      <c r="B249" s="13" t="s">
        <v>505</v>
      </c>
      <c r="C249" s="13" t="s">
        <v>506</v>
      </c>
      <c r="D249" t="s">
        <v>1163</v>
      </c>
      <c r="E249" t="e">
        <f>VLOOKUP(B249,'working space'!F:F,1,FALSE)</f>
        <v>#N/A</v>
      </c>
    </row>
    <row r="250" spans="1:5" ht="39" x14ac:dyDescent="0.25">
      <c r="A250">
        <v>249</v>
      </c>
      <c r="B250" s="13" t="s">
        <v>507</v>
      </c>
      <c r="C250" s="13" t="s">
        <v>508</v>
      </c>
      <c r="D250" t="s">
        <v>1163</v>
      </c>
      <c r="E250" t="e">
        <f>VLOOKUP(B250,'working space'!F:F,1,FALSE)</f>
        <v>#N/A</v>
      </c>
    </row>
    <row r="251" spans="1:5" ht="39" x14ac:dyDescent="0.25">
      <c r="A251">
        <v>250</v>
      </c>
      <c r="B251" s="13" t="s">
        <v>509</v>
      </c>
      <c r="C251" s="13" t="s">
        <v>510</v>
      </c>
      <c r="D251" t="s">
        <v>1163</v>
      </c>
      <c r="E251" t="e">
        <f>VLOOKUP(B251,'working space'!F:F,1,FALSE)</f>
        <v>#N/A</v>
      </c>
    </row>
    <row r="252" spans="1:5" ht="39" x14ac:dyDescent="0.25">
      <c r="A252">
        <v>251</v>
      </c>
      <c r="B252" s="13" t="s">
        <v>511</v>
      </c>
      <c r="C252" s="13" t="s">
        <v>512</v>
      </c>
      <c r="D252" t="s">
        <v>1163</v>
      </c>
      <c r="E252" t="e">
        <f>VLOOKUP(B252,'working space'!F:F,1,FALSE)</f>
        <v>#N/A</v>
      </c>
    </row>
    <row r="253" spans="1:5" ht="39" x14ac:dyDescent="0.25">
      <c r="A253">
        <v>252</v>
      </c>
      <c r="B253" s="13" t="s">
        <v>513</v>
      </c>
      <c r="C253" s="13" t="s">
        <v>514</v>
      </c>
      <c r="D253" t="s">
        <v>1163</v>
      </c>
      <c r="E253" t="e">
        <f>VLOOKUP(B253,'working space'!F:F,1,FALSE)</f>
        <v>#N/A</v>
      </c>
    </row>
    <row r="254" spans="1:5" ht="39" x14ac:dyDescent="0.25">
      <c r="A254">
        <v>253</v>
      </c>
      <c r="B254" s="13" t="s">
        <v>515</v>
      </c>
      <c r="C254" s="13" t="s">
        <v>516</v>
      </c>
      <c r="D254" t="s">
        <v>1163</v>
      </c>
      <c r="E254" t="e">
        <f>VLOOKUP(B254,'working space'!F:F,1,FALSE)</f>
        <v>#N/A</v>
      </c>
    </row>
    <row r="255" spans="1:5" ht="39" x14ac:dyDescent="0.25">
      <c r="A255">
        <v>254</v>
      </c>
      <c r="B255" s="13" t="s">
        <v>517</v>
      </c>
      <c r="C255" s="13" t="s">
        <v>518</v>
      </c>
      <c r="D255" t="s">
        <v>1163</v>
      </c>
      <c r="E255" t="e">
        <f>VLOOKUP(B255,'working space'!F:F,1,FALSE)</f>
        <v>#N/A</v>
      </c>
    </row>
    <row r="256" spans="1:5" ht="58.5" x14ac:dyDescent="0.25">
      <c r="A256">
        <v>255</v>
      </c>
      <c r="B256" s="13" t="s">
        <v>519</v>
      </c>
      <c r="C256" s="13" t="s">
        <v>520</v>
      </c>
      <c r="D256" t="s">
        <v>1163</v>
      </c>
      <c r="E256" t="e">
        <f>VLOOKUP(B256,'working space'!F:F,1,FALSE)</f>
        <v>#N/A</v>
      </c>
    </row>
    <row r="257" spans="1:5" ht="58.5" x14ac:dyDescent="0.25">
      <c r="A257">
        <v>256</v>
      </c>
      <c r="B257" s="13" t="s">
        <v>521</v>
      </c>
      <c r="C257" s="13" t="s">
        <v>522</v>
      </c>
      <c r="D257" t="s">
        <v>1163</v>
      </c>
      <c r="E257" t="e">
        <f>VLOOKUP(B257,'working space'!F:F,1,FALSE)</f>
        <v>#N/A</v>
      </c>
    </row>
    <row r="258" spans="1:5" ht="58.5" x14ac:dyDescent="0.25">
      <c r="A258">
        <v>257</v>
      </c>
      <c r="B258" s="13" t="s">
        <v>523</v>
      </c>
      <c r="C258" s="13" t="s">
        <v>524</v>
      </c>
      <c r="D258" t="s">
        <v>1163</v>
      </c>
      <c r="E258" t="e">
        <f>VLOOKUP(B258,'working space'!F:F,1,FALSE)</f>
        <v>#N/A</v>
      </c>
    </row>
    <row r="259" spans="1:5" ht="58.5" x14ac:dyDescent="0.25">
      <c r="A259">
        <v>258</v>
      </c>
      <c r="B259" s="13" t="s">
        <v>525</v>
      </c>
      <c r="C259" s="13" t="s">
        <v>526</v>
      </c>
      <c r="D259" t="s">
        <v>1163</v>
      </c>
      <c r="E259" t="e">
        <f>VLOOKUP(B259,'working space'!F:F,1,FALSE)</f>
        <v>#N/A</v>
      </c>
    </row>
    <row r="260" spans="1:5" ht="58.5" x14ac:dyDescent="0.25">
      <c r="A260">
        <v>259</v>
      </c>
      <c r="B260" s="13" t="s">
        <v>527</v>
      </c>
      <c r="C260" s="13" t="s">
        <v>528</v>
      </c>
      <c r="D260" t="s">
        <v>1163</v>
      </c>
      <c r="E260" t="e">
        <f>VLOOKUP(B260,'working space'!F:F,1,FALSE)</f>
        <v>#N/A</v>
      </c>
    </row>
    <row r="261" spans="1:5" ht="58.5" x14ac:dyDescent="0.25">
      <c r="A261">
        <v>260</v>
      </c>
      <c r="B261" s="13" t="s">
        <v>529</v>
      </c>
      <c r="C261" s="13" t="s">
        <v>530</v>
      </c>
      <c r="D261" t="s">
        <v>1163</v>
      </c>
      <c r="E261" t="e">
        <f>VLOOKUP(B261,'working space'!F:F,1,FALSE)</f>
        <v>#N/A</v>
      </c>
    </row>
    <row r="262" spans="1:5" ht="58.5" x14ac:dyDescent="0.25">
      <c r="A262">
        <v>261</v>
      </c>
      <c r="B262" s="13" t="s">
        <v>531</v>
      </c>
      <c r="C262" s="13" t="s">
        <v>532</v>
      </c>
      <c r="D262" t="s">
        <v>1163</v>
      </c>
      <c r="E262" t="e">
        <f>VLOOKUP(B262,'working space'!F:F,1,FALSE)</f>
        <v>#N/A</v>
      </c>
    </row>
    <row r="263" spans="1:5" ht="39" x14ac:dyDescent="0.25">
      <c r="A263">
        <v>262</v>
      </c>
      <c r="B263" s="13" t="s">
        <v>533</v>
      </c>
      <c r="C263" s="13" t="s">
        <v>534</v>
      </c>
      <c r="D263" t="s">
        <v>1163</v>
      </c>
      <c r="E263" t="e">
        <f>VLOOKUP(B263,'working space'!F:F,1,FALSE)</f>
        <v>#N/A</v>
      </c>
    </row>
    <row r="264" spans="1:5" ht="39" x14ac:dyDescent="0.25">
      <c r="A264">
        <v>263</v>
      </c>
      <c r="B264" s="13" t="s">
        <v>535</v>
      </c>
      <c r="C264" s="13" t="s">
        <v>536</v>
      </c>
      <c r="D264" t="s">
        <v>1163</v>
      </c>
      <c r="E264" t="e">
        <f>VLOOKUP(B264,'working space'!F:F,1,FALSE)</f>
        <v>#N/A</v>
      </c>
    </row>
    <row r="265" spans="1:5" ht="39" x14ac:dyDescent="0.25">
      <c r="A265">
        <v>264</v>
      </c>
      <c r="B265" s="13" t="s">
        <v>537</v>
      </c>
      <c r="C265" s="13" t="s">
        <v>538</v>
      </c>
      <c r="D265" t="s">
        <v>1163</v>
      </c>
      <c r="E265" t="e">
        <f>VLOOKUP(B265,'working space'!F:F,1,FALSE)</f>
        <v>#N/A</v>
      </c>
    </row>
    <row r="266" spans="1:5" ht="39" x14ac:dyDescent="0.25">
      <c r="A266">
        <v>265</v>
      </c>
      <c r="B266" s="13" t="s">
        <v>539</v>
      </c>
      <c r="C266" s="13" t="s">
        <v>540</v>
      </c>
      <c r="D266" t="s">
        <v>1163</v>
      </c>
      <c r="E266" t="e">
        <f>VLOOKUP(B266,'working space'!F:F,1,FALSE)</f>
        <v>#N/A</v>
      </c>
    </row>
    <row r="267" spans="1:5" ht="58.5" x14ac:dyDescent="0.25">
      <c r="A267">
        <v>266</v>
      </c>
      <c r="B267" s="13" t="s">
        <v>541</v>
      </c>
      <c r="C267" s="13" t="s">
        <v>542</v>
      </c>
      <c r="D267" t="s">
        <v>1163</v>
      </c>
      <c r="E267" t="e">
        <f>VLOOKUP(B267,'working space'!F:F,1,FALSE)</f>
        <v>#N/A</v>
      </c>
    </row>
    <row r="268" spans="1:5" ht="58.5" x14ac:dyDescent="0.25">
      <c r="A268">
        <v>267</v>
      </c>
      <c r="B268" s="13" t="s">
        <v>543</v>
      </c>
      <c r="C268" s="13" t="s">
        <v>544</v>
      </c>
      <c r="D268" t="s">
        <v>1163</v>
      </c>
      <c r="E268" t="e">
        <f>VLOOKUP(B268,'working space'!F:F,1,FALSE)</f>
        <v>#N/A</v>
      </c>
    </row>
    <row r="269" spans="1:5" ht="58.5" x14ac:dyDescent="0.25">
      <c r="A269">
        <v>268</v>
      </c>
      <c r="B269" s="13" t="s">
        <v>545</v>
      </c>
      <c r="C269" s="13" t="s">
        <v>546</v>
      </c>
      <c r="D269" t="s">
        <v>1163</v>
      </c>
      <c r="E269" t="e">
        <f>VLOOKUP(B269,'working space'!F:F,1,FALSE)</f>
        <v>#N/A</v>
      </c>
    </row>
    <row r="270" spans="1:5" ht="58.5" x14ac:dyDescent="0.25">
      <c r="A270">
        <v>269</v>
      </c>
      <c r="B270" s="13" t="s">
        <v>547</v>
      </c>
      <c r="C270" s="13" t="s">
        <v>548</v>
      </c>
      <c r="D270" t="s">
        <v>1163</v>
      </c>
      <c r="E270" t="e">
        <f>VLOOKUP(B270,'working space'!F:F,1,FALSE)</f>
        <v>#N/A</v>
      </c>
    </row>
    <row r="271" spans="1:5" ht="58.5" x14ac:dyDescent="0.25">
      <c r="A271">
        <v>270</v>
      </c>
      <c r="B271" s="13" t="s">
        <v>549</v>
      </c>
      <c r="C271" s="13" t="s">
        <v>550</v>
      </c>
      <c r="D271" t="s">
        <v>1163</v>
      </c>
      <c r="E271" t="e">
        <f>VLOOKUP(B271,'working space'!F:F,1,FALSE)</f>
        <v>#N/A</v>
      </c>
    </row>
    <row r="272" spans="1:5" ht="58.5" x14ac:dyDescent="0.25">
      <c r="A272">
        <v>271</v>
      </c>
      <c r="B272" s="13" t="s">
        <v>551</v>
      </c>
      <c r="C272" s="13" t="s">
        <v>552</v>
      </c>
      <c r="D272" t="s">
        <v>1163</v>
      </c>
      <c r="E272" t="e">
        <f>VLOOKUP(B272,'working space'!F:F,1,FALSE)</f>
        <v>#N/A</v>
      </c>
    </row>
    <row r="273" spans="1:5" ht="39" x14ac:dyDescent="0.25">
      <c r="A273">
        <v>272</v>
      </c>
      <c r="B273" s="13" t="s">
        <v>553</v>
      </c>
      <c r="C273" s="13" t="s">
        <v>554</v>
      </c>
      <c r="D273" t="s">
        <v>1163</v>
      </c>
      <c r="E273" t="e">
        <f>VLOOKUP(B273,'working space'!F:F,1,FALSE)</f>
        <v>#N/A</v>
      </c>
    </row>
    <row r="274" spans="1:5" ht="58.5" x14ac:dyDescent="0.25">
      <c r="A274">
        <v>273</v>
      </c>
      <c r="B274" s="13" t="s">
        <v>555</v>
      </c>
      <c r="C274" s="13" t="s">
        <v>556</v>
      </c>
      <c r="D274" t="s">
        <v>1163</v>
      </c>
      <c r="E274" t="e">
        <f>VLOOKUP(B274,'working space'!F:F,1,FALSE)</f>
        <v>#N/A</v>
      </c>
    </row>
    <row r="275" spans="1:5" ht="58.5" x14ac:dyDescent="0.25">
      <c r="A275">
        <v>274</v>
      </c>
      <c r="B275" s="13" t="s">
        <v>557</v>
      </c>
      <c r="C275" s="13" t="s">
        <v>558</v>
      </c>
      <c r="D275" t="s">
        <v>1163</v>
      </c>
      <c r="E275" t="e">
        <f>VLOOKUP(B275,'working space'!F:F,1,FALSE)</f>
        <v>#N/A</v>
      </c>
    </row>
    <row r="276" spans="1:5" ht="39" x14ac:dyDescent="0.25">
      <c r="A276">
        <v>275</v>
      </c>
      <c r="B276" s="13" t="s">
        <v>559</v>
      </c>
      <c r="C276" s="13" t="s">
        <v>560</v>
      </c>
      <c r="D276" t="s">
        <v>1163</v>
      </c>
      <c r="E276" t="e">
        <f>VLOOKUP(B276,'working space'!F:F,1,FALSE)</f>
        <v>#N/A</v>
      </c>
    </row>
    <row r="277" spans="1:5" ht="39" x14ac:dyDescent="0.25">
      <c r="A277">
        <v>276</v>
      </c>
      <c r="B277" s="13" t="s">
        <v>561</v>
      </c>
      <c r="C277" s="13" t="s">
        <v>562</v>
      </c>
      <c r="D277" t="s">
        <v>1163</v>
      </c>
      <c r="E277" t="e">
        <f>VLOOKUP(B277,'working space'!F:F,1,FALSE)</f>
        <v>#N/A</v>
      </c>
    </row>
    <row r="278" spans="1:5" ht="39" x14ac:dyDescent="0.25">
      <c r="A278">
        <v>277</v>
      </c>
      <c r="B278" s="13" t="s">
        <v>563</v>
      </c>
      <c r="C278" s="13" t="s">
        <v>564</v>
      </c>
      <c r="D278" t="s">
        <v>1163</v>
      </c>
      <c r="E278" t="e">
        <f>VLOOKUP(B278,'working space'!F:F,1,FALSE)</f>
        <v>#N/A</v>
      </c>
    </row>
    <row r="279" spans="1:5" ht="19.5" x14ac:dyDescent="0.25">
      <c r="A279">
        <v>278</v>
      </c>
      <c r="B279" s="13" t="s">
        <v>565</v>
      </c>
      <c r="C279" s="13" t="s">
        <v>566</v>
      </c>
      <c r="D279" t="s">
        <v>1163</v>
      </c>
      <c r="E279" t="e">
        <f>VLOOKUP(B279,'working space'!F:F,1,FALSE)</f>
        <v>#N/A</v>
      </c>
    </row>
    <row r="280" spans="1:5" ht="39" x14ac:dyDescent="0.25">
      <c r="A280">
        <v>279</v>
      </c>
      <c r="B280" s="13" t="s">
        <v>567</v>
      </c>
      <c r="C280" s="13" t="s">
        <v>568</v>
      </c>
      <c r="D280" t="s">
        <v>1163</v>
      </c>
      <c r="E280" t="e">
        <f>VLOOKUP(B280,'working space'!F:F,1,FALSE)</f>
        <v>#N/A</v>
      </c>
    </row>
    <row r="281" spans="1:5" ht="39" x14ac:dyDescent="0.25">
      <c r="A281">
        <v>280</v>
      </c>
      <c r="B281" s="13" t="s">
        <v>569</v>
      </c>
      <c r="C281" s="13" t="s">
        <v>570</v>
      </c>
      <c r="D281" t="s">
        <v>1163</v>
      </c>
      <c r="E281" t="e">
        <f>VLOOKUP(B281,'working space'!F:F,1,FALSE)</f>
        <v>#N/A</v>
      </c>
    </row>
    <row r="282" spans="1:5" ht="19.5" x14ac:dyDescent="0.25">
      <c r="A282">
        <v>281</v>
      </c>
      <c r="B282" s="13" t="s">
        <v>571</v>
      </c>
      <c r="C282" s="13" t="s">
        <v>572</v>
      </c>
      <c r="D282" t="s">
        <v>1163</v>
      </c>
      <c r="E282" t="e">
        <f>VLOOKUP(B282,'working space'!F:F,1,FALSE)</f>
        <v>#N/A</v>
      </c>
    </row>
    <row r="283" spans="1:5" ht="19.5" x14ac:dyDescent="0.25">
      <c r="A283">
        <v>282</v>
      </c>
      <c r="B283" s="13" t="s">
        <v>573</v>
      </c>
      <c r="C283" s="13" t="s">
        <v>574</v>
      </c>
      <c r="D283" t="s">
        <v>1163</v>
      </c>
      <c r="E283" t="e">
        <f>VLOOKUP(B283,'working space'!F:F,1,FALSE)</f>
        <v>#N/A</v>
      </c>
    </row>
    <row r="284" spans="1:5" ht="19.5" x14ac:dyDescent="0.25">
      <c r="A284">
        <v>283</v>
      </c>
      <c r="B284" s="13" t="s">
        <v>575</v>
      </c>
      <c r="C284" s="13" t="s">
        <v>576</v>
      </c>
      <c r="D284" t="s">
        <v>1163</v>
      </c>
      <c r="E284" t="e">
        <f>VLOOKUP(B284,'working space'!F:F,1,FALSE)</f>
        <v>#N/A</v>
      </c>
    </row>
    <row r="285" spans="1:5" ht="39" x14ac:dyDescent="0.25">
      <c r="A285">
        <v>284</v>
      </c>
      <c r="B285" s="13" t="s">
        <v>577</v>
      </c>
      <c r="C285" s="13" t="s">
        <v>578</v>
      </c>
      <c r="D285" t="s">
        <v>1163</v>
      </c>
      <c r="E285" t="e">
        <f>VLOOKUP(B285,'working space'!F:F,1,FALSE)</f>
        <v>#N/A</v>
      </c>
    </row>
    <row r="286" spans="1:5" ht="19.5" x14ac:dyDescent="0.25">
      <c r="A286">
        <v>285</v>
      </c>
      <c r="B286" s="13" t="s">
        <v>579</v>
      </c>
      <c r="C286" s="13" t="s">
        <v>321</v>
      </c>
      <c r="D286" t="s">
        <v>1163</v>
      </c>
      <c r="E286" t="e">
        <f>VLOOKUP(B286,'working space'!F:F,1,FALSE)</f>
        <v>#N/A</v>
      </c>
    </row>
    <row r="287" spans="1:5" ht="39" x14ac:dyDescent="0.25">
      <c r="A287">
        <v>286</v>
      </c>
      <c r="B287" s="13" t="s">
        <v>580</v>
      </c>
      <c r="C287" s="13" t="s">
        <v>581</v>
      </c>
      <c r="D287" t="s">
        <v>1163</v>
      </c>
      <c r="E287" t="e">
        <f>VLOOKUP(B287,'working space'!F:F,1,FALSE)</f>
        <v>#N/A</v>
      </c>
    </row>
    <row r="288" spans="1:5" ht="39" x14ac:dyDescent="0.25">
      <c r="A288">
        <v>287</v>
      </c>
      <c r="B288" s="13" t="s">
        <v>582</v>
      </c>
      <c r="C288" s="13" t="s">
        <v>583</v>
      </c>
      <c r="D288" t="s">
        <v>1163</v>
      </c>
      <c r="E288" t="e">
        <f>VLOOKUP(B288,'working space'!F:F,1,FALSE)</f>
        <v>#N/A</v>
      </c>
    </row>
    <row r="289" spans="1:5" ht="19.5" x14ac:dyDescent="0.25">
      <c r="A289">
        <v>288</v>
      </c>
      <c r="B289" s="13" t="s">
        <v>584</v>
      </c>
      <c r="C289" s="13" t="s">
        <v>585</v>
      </c>
      <c r="D289" t="s">
        <v>1163</v>
      </c>
      <c r="E289" t="e">
        <f>VLOOKUP(B289,'working space'!F:F,1,FALSE)</f>
        <v>#N/A</v>
      </c>
    </row>
    <row r="290" spans="1:5" ht="19.5" x14ac:dyDescent="0.25">
      <c r="A290">
        <v>289</v>
      </c>
      <c r="B290" s="13" t="s">
        <v>586</v>
      </c>
      <c r="C290" s="13" t="s">
        <v>587</v>
      </c>
      <c r="D290" t="s">
        <v>1163</v>
      </c>
      <c r="E290" t="e">
        <f>VLOOKUP(B290,'working space'!F:F,1,FALSE)</f>
        <v>#N/A</v>
      </c>
    </row>
    <row r="291" spans="1:5" ht="39" x14ac:dyDescent="0.25">
      <c r="A291">
        <v>290</v>
      </c>
      <c r="B291" s="13" t="s">
        <v>588</v>
      </c>
      <c r="C291" s="13" t="s">
        <v>589</v>
      </c>
      <c r="D291" t="s">
        <v>1163</v>
      </c>
      <c r="E291" t="e">
        <f>VLOOKUP(B291,'working space'!F:F,1,FALSE)</f>
        <v>#N/A</v>
      </c>
    </row>
    <row r="292" spans="1:5" ht="19.5" x14ac:dyDescent="0.25">
      <c r="A292">
        <v>291</v>
      </c>
      <c r="B292" s="13" t="s">
        <v>590</v>
      </c>
      <c r="C292" s="13" t="s">
        <v>591</v>
      </c>
      <c r="D292" t="s">
        <v>1163</v>
      </c>
      <c r="E292" t="e">
        <f>VLOOKUP(B292,'working space'!F:F,1,FALSE)</f>
        <v>#N/A</v>
      </c>
    </row>
    <row r="293" spans="1:5" ht="19.5" x14ac:dyDescent="0.25">
      <c r="A293">
        <v>292</v>
      </c>
      <c r="B293" s="13" t="s">
        <v>592</v>
      </c>
      <c r="C293" s="13" t="s">
        <v>593</v>
      </c>
      <c r="D293" t="s">
        <v>1163</v>
      </c>
      <c r="E293" t="e">
        <f>VLOOKUP(B293,'working space'!F:F,1,FALSE)</f>
        <v>#N/A</v>
      </c>
    </row>
    <row r="294" spans="1:5" ht="58.5" x14ac:dyDescent="0.25">
      <c r="A294">
        <v>293</v>
      </c>
      <c r="B294" s="13" t="s">
        <v>594</v>
      </c>
      <c r="C294" s="13" t="s">
        <v>595</v>
      </c>
      <c r="D294" t="s">
        <v>1163</v>
      </c>
      <c r="E294" t="e">
        <f>VLOOKUP(B294,'working space'!F:F,1,FALSE)</f>
        <v>#N/A</v>
      </c>
    </row>
    <row r="295" spans="1:5" ht="58.5" x14ac:dyDescent="0.25">
      <c r="A295">
        <v>294</v>
      </c>
      <c r="B295" s="13" t="s">
        <v>596</v>
      </c>
      <c r="C295" s="13" t="s">
        <v>597</v>
      </c>
      <c r="D295" t="s">
        <v>1163</v>
      </c>
      <c r="E295" t="e">
        <f>VLOOKUP(B295,'working space'!F:F,1,FALSE)</f>
        <v>#N/A</v>
      </c>
    </row>
    <row r="296" spans="1:5" ht="58.5" x14ac:dyDescent="0.25">
      <c r="A296">
        <v>295</v>
      </c>
      <c r="B296" s="13" t="s">
        <v>598</v>
      </c>
      <c r="C296" s="13" t="s">
        <v>599</v>
      </c>
      <c r="D296" t="s">
        <v>1163</v>
      </c>
      <c r="E296" t="e">
        <f>VLOOKUP(B296,'working space'!F:F,1,FALSE)</f>
        <v>#N/A</v>
      </c>
    </row>
    <row r="297" spans="1:5" ht="39" x14ac:dyDescent="0.25">
      <c r="A297">
        <v>296</v>
      </c>
      <c r="B297" s="13" t="s">
        <v>600</v>
      </c>
      <c r="C297" s="13" t="s">
        <v>601</v>
      </c>
      <c r="D297" t="s">
        <v>1163</v>
      </c>
      <c r="E297" t="e">
        <f>VLOOKUP(B297,'working space'!F:F,1,FALSE)</f>
        <v>#N/A</v>
      </c>
    </row>
    <row r="298" spans="1:5" ht="58.5" x14ac:dyDescent="0.25">
      <c r="A298">
        <v>297</v>
      </c>
      <c r="B298" s="13" t="s">
        <v>602</v>
      </c>
      <c r="C298" s="13" t="s">
        <v>603</v>
      </c>
      <c r="D298" t="s">
        <v>1163</v>
      </c>
      <c r="E298" t="e">
        <f>VLOOKUP(B298,'working space'!F:F,1,FALSE)</f>
        <v>#N/A</v>
      </c>
    </row>
    <row r="299" spans="1:5" ht="39" x14ac:dyDescent="0.25">
      <c r="A299">
        <v>298</v>
      </c>
      <c r="B299" s="13" t="s">
        <v>604</v>
      </c>
      <c r="C299" s="13" t="s">
        <v>605</v>
      </c>
      <c r="D299" t="s">
        <v>1163</v>
      </c>
      <c r="E299" t="e">
        <f>VLOOKUP(B299,'working space'!F:F,1,FALSE)</f>
        <v>#N/A</v>
      </c>
    </row>
    <row r="300" spans="1:5" ht="39" x14ac:dyDescent="0.25">
      <c r="A300">
        <v>299</v>
      </c>
      <c r="B300" s="13" t="s">
        <v>606</v>
      </c>
      <c r="C300" s="13" t="s">
        <v>607</v>
      </c>
      <c r="D300" t="s">
        <v>1163</v>
      </c>
      <c r="E300" t="e">
        <f>VLOOKUP(B300,'working space'!F:F,1,FALSE)</f>
        <v>#N/A</v>
      </c>
    </row>
    <row r="301" spans="1:5" ht="58.5" x14ac:dyDescent="0.25">
      <c r="A301">
        <v>300</v>
      </c>
      <c r="B301" s="13" t="s">
        <v>608</v>
      </c>
      <c r="C301" s="13" t="s">
        <v>609</v>
      </c>
      <c r="D301" t="s">
        <v>1163</v>
      </c>
      <c r="E301" t="e">
        <f>VLOOKUP(B301,'working space'!F:F,1,FALSE)</f>
        <v>#N/A</v>
      </c>
    </row>
    <row r="302" spans="1:5" ht="58.5" x14ac:dyDescent="0.25">
      <c r="A302">
        <v>301</v>
      </c>
      <c r="B302" s="13" t="s">
        <v>610</v>
      </c>
      <c r="C302" s="13" t="s">
        <v>611</v>
      </c>
      <c r="D302" t="s">
        <v>1163</v>
      </c>
      <c r="E302" t="e">
        <f>VLOOKUP(B302,'working space'!F:F,1,FALSE)</f>
        <v>#N/A</v>
      </c>
    </row>
    <row r="303" spans="1:5" ht="58.5" x14ac:dyDescent="0.25">
      <c r="A303">
        <v>302</v>
      </c>
      <c r="B303" s="13" t="s">
        <v>612</v>
      </c>
      <c r="C303" s="13" t="s">
        <v>613</v>
      </c>
      <c r="D303" t="s">
        <v>1163</v>
      </c>
      <c r="E303" t="e">
        <f>VLOOKUP(B303,'working space'!F:F,1,FALSE)</f>
        <v>#N/A</v>
      </c>
    </row>
    <row r="304" spans="1:5" ht="58.5" x14ac:dyDescent="0.25">
      <c r="A304">
        <v>303</v>
      </c>
      <c r="B304" s="13" t="s">
        <v>614</v>
      </c>
      <c r="C304" s="13" t="s">
        <v>615</v>
      </c>
      <c r="D304" t="s">
        <v>1163</v>
      </c>
      <c r="E304" t="e">
        <f>VLOOKUP(B304,'working space'!F:F,1,FALSE)</f>
        <v>#N/A</v>
      </c>
    </row>
    <row r="305" spans="1:5" ht="97.5" x14ac:dyDescent="0.25">
      <c r="A305">
        <v>304</v>
      </c>
      <c r="B305" s="13" t="s">
        <v>616</v>
      </c>
      <c r="C305" s="13" t="s">
        <v>617</v>
      </c>
      <c r="D305" t="s">
        <v>1163</v>
      </c>
      <c r="E305" t="e">
        <f>VLOOKUP(B305,'working space'!F:F,1,FALSE)</f>
        <v>#N/A</v>
      </c>
    </row>
    <row r="306" spans="1:5" ht="78" x14ac:dyDescent="0.25">
      <c r="A306">
        <v>305</v>
      </c>
      <c r="B306" s="13" t="s">
        <v>618</v>
      </c>
      <c r="C306" s="13" t="s">
        <v>619</v>
      </c>
      <c r="D306" t="s">
        <v>1163</v>
      </c>
      <c r="E306" t="e">
        <f>VLOOKUP(B306,'working space'!F:F,1,FALSE)</f>
        <v>#N/A</v>
      </c>
    </row>
    <row r="307" spans="1:5" ht="58.5" x14ac:dyDescent="0.25">
      <c r="A307">
        <v>306</v>
      </c>
      <c r="B307" s="13" t="s">
        <v>620</v>
      </c>
      <c r="C307" s="13" t="s">
        <v>621</v>
      </c>
      <c r="D307" t="s">
        <v>1163</v>
      </c>
      <c r="E307" t="e">
        <f>VLOOKUP(B307,'working space'!F:F,1,FALSE)</f>
        <v>#N/A</v>
      </c>
    </row>
    <row r="308" spans="1:5" ht="58.5" x14ac:dyDescent="0.25">
      <c r="A308">
        <v>307</v>
      </c>
      <c r="B308" s="13" t="s">
        <v>622</v>
      </c>
      <c r="C308" s="13" t="s">
        <v>623</v>
      </c>
      <c r="D308" t="s">
        <v>1163</v>
      </c>
      <c r="E308" t="e">
        <f>VLOOKUP(B308,'working space'!F:F,1,FALSE)</f>
        <v>#N/A</v>
      </c>
    </row>
    <row r="309" spans="1:5" ht="58.5" x14ac:dyDescent="0.25">
      <c r="A309">
        <v>308</v>
      </c>
      <c r="B309" s="13" t="s">
        <v>624</v>
      </c>
      <c r="C309" s="13" t="s">
        <v>625</v>
      </c>
      <c r="D309" t="s">
        <v>1163</v>
      </c>
      <c r="E309" t="e">
        <f>VLOOKUP(B309,'working space'!F:F,1,FALSE)</f>
        <v>#N/A</v>
      </c>
    </row>
    <row r="310" spans="1:5" ht="78" x14ac:dyDescent="0.25">
      <c r="A310">
        <v>309</v>
      </c>
      <c r="B310" s="13" t="s">
        <v>626</v>
      </c>
      <c r="C310" s="13" t="s">
        <v>627</v>
      </c>
      <c r="D310" t="s">
        <v>1163</v>
      </c>
      <c r="E310" t="e">
        <f>VLOOKUP(B310,'working space'!F:F,1,FALSE)</f>
        <v>#N/A</v>
      </c>
    </row>
    <row r="311" spans="1:5" ht="58.5" x14ac:dyDescent="0.25">
      <c r="A311">
        <v>310</v>
      </c>
      <c r="B311" s="13" t="s">
        <v>628</v>
      </c>
      <c r="C311" s="13" t="s">
        <v>629</v>
      </c>
      <c r="D311" t="s">
        <v>1163</v>
      </c>
      <c r="E311" t="e">
        <f>VLOOKUP(B311,'working space'!F:F,1,FALSE)</f>
        <v>#N/A</v>
      </c>
    </row>
    <row r="312" spans="1:5" ht="78" x14ac:dyDescent="0.25">
      <c r="A312">
        <v>311</v>
      </c>
      <c r="B312" s="13" t="s">
        <v>630</v>
      </c>
      <c r="C312" s="13" t="s">
        <v>631</v>
      </c>
      <c r="D312" t="s">
        <v>1163</v>
      </c>
      <c r="E312" t="e">
        <f>VLOOKUP(B312,'working space'!F:F,1,FALSE)</f>
        <v>#N/A</v>
      </c>
    </row>
    <row r="313" spans="1:5" ht="58.5" x14ac:dyDescent="0.25">
      <c r="A313">
        <v>312</v>
      </c>
      <c r="B313" s="13" t="s">
        <v>632</v>
      </c>
      <c r="C313" s="13" t="s">
        <v>633</v>
      </c>
      <c r="D313" t="s">
        <v>1163</v>
      </c>
      <c r="E313" t="e">
        <f>VLOOKUP(B313,'working space'!F:F,1,FALSE)</f>
        <v>#N/A</v>
      </c>
    </row>
    <row r="314" spans="1:5" ht="58.5" x14ac:dyDescent="0.25">
      <c r="A314">
        <v>313</v>
      </c>
      <c r="B314" s="13" t="s">
        <v>634</v>
      </c>
      <c r="C314" s="13" t="s">
        <v>635</v>
      </c>
      <c r="D314" t="s">
        <v>1163</v>
      </c>
      <c r="E314" t="e">
        <f>VLOOKUP(B314,'working space'!F:F,1,FALSE)</f>
        <v>#N/A</v>
      </c>
    </row>
    <row r="315" spans="1:5" ht="58.5" x14ac:dyDescent="0.25">
      <c r="A315">
        <v>314</v>
      </c>
      <c r="B315" s="13" t="s">
        <v>636</v>
      </c>
      <c r="C315" s="13" t="s">
        <v>637</v>
      </c>
      <c r="D315" t="s">
        <v>1163</v>
      </c>
      <c r="E315" t="e">
        <f>VLOOKUP(B315,'working space'!F:F,1,FALSE)</f>
        <v>#N/A</v>
      </c>
    </row>
    <row r="316" spans="1:5" ht="58.5" x14ac:dyDescent="0.25">
      <c r="A316">
        <v>315</v>
      </c>
      <c r="B316" s="13" t="s">
        <v>638</v>
      </c>
      <c r="C316" s="13" t="s">
        <v>639</v>
      </c>
      <c r="D316" t="s">
        <v>1163</v>
      </c>
      <c r="E316" t="e">
        <f>VLOOKUP(B316,'working space'!F:F,1,FALSE)</f>
        <v>#N/A</v>
      </c>
    </row>
    <row r="317" spans="1:5" ht="58.5" x14ac:dyDescent="0.25">
      <c r="A317">
        <v>316</v>
      </c>
      <c r="B317" s="13" t="s">
        <v>640</v>
      </c>
      <c r="C317" s="13" t="s">
        <v>641</v>
      </c>
      <c r="D317" t="s">
        <v>1163</v>
      </c>
      <c r="E317" t="e">
        <f>VLOOKUP(B317,'working space'!F:F,1,FALSE)</f>
        <v>#N/A</v>
      </c>
    </row>
    <row r="318" spans="1:5" ht="58.5" x14ac:dyDescent="0.25">
      <c r="A318">
        <v>317</v>
      </c>
      <c r="B318" s="13" t="s">
        <v>642</v>
      </c>
      <c r="C318" s="13" t="s">
        <v>643</v>
      </c>
      <c r="D318" t="s">
        <v>1163</v>
      </c>
      <c r="E318" t="e">
        <f>VLOOKUP(B318,'working space'!F:F,1,FALSE)</f>
        <v>#N/A</v>
      </c>
    </row>
    <row r="319" spans="1:5" ht="58.5" x14ac:dyDescent="0.25">
      <c r="A319">
        <v>318</v>
      </c>
      <c r="B319" s="13" t="s">
        <v>644</v>
      </c>
      <c r="C319" s="13" t="s">
        <v>645</v>
      </c>
      <c r="D319" t="s">
        <v>1163</v>
      </c>
      <c r="E319" t="e">
        <f>VLOOKUP(B319,'working space'!F:F,1,FALSE)</f>
        <v>#N/A</v>
      </c>
    </row>
    <row r="320" spans="1:5" ht="78" x14ac:dyDescent="0.25">
      <c r="A320">
        <v>319</v>
      </c>
      <c r="B320" s="13" t="s">
        <v>646</v>
      </c>
      <c r="C320" s="13" t="s">
        <v>647</v>
      </c>
      <c r="D320">
        <v>0</v>
      </c>
      <c r="E320" t="e">
        <f>VLOOKUP(B320,'working space'!F:F,1,FALSE)</f>
        <v>#N/A</v>
      </c>
    </row>
    <row r="321" spans="1:5" ht="58.5" x14ac:dyDescent="0.25">
      <c r="A321">
        <v>320</v>
      </c>
      <c r="B321" s="13" t="s">
        <v>648</v>
      </c>
      <c r="C321" s="13" t="s">
        <v>649</v>
      </c>
      <c r="D321">
        <v>0</v>
      </c>
      <c r="E321" t="e">
        <f>VLOOKUP(B321,'working space'!F:F,1,FALSE)</f>
        <v>#N/A</v>
      </c>
    </row>
    <row r="322" spans="1:5" ht="39" x14ac:dyDescent="0.25">
      <c r="A322">
        <v>321</v>
      </c>
      <c r="B322" s="13" t="s">
        <v>650</v>
      </c>
      <c r="C322" s="13" t="s">
        <v>651</v>
      </c>
      <c r="D322">
        <v>0</v>
      </c>
      <c r="E322" t="e">
        <f>VLOOKUP(B322,'working space'!F:F,1,FALSE)</f>
        <v>#N/A</v>
      </c>
    </row>
    <row r="323" spans="1:5" ht="39" x14ac:dyDescent="0.25">
      <c r="A323">
        <v>322</v>
      </c>
      <c r="B323" s="13" t="s">
        <v>652</v>
      </c>
      <c r="C323" s="13" t="s">
        <v>653</v>
      </c>
      <c r="D323">
        <v>0</v>
      </c>
      <c r="E323" t="e">
        <f>VLOOKUP(B323,'working space'!F:F,1,FALSE)</f>
        <v>#N/A</v>
      </c>
    </row>
    <row r="324" spans="1:5" ht="39" x14ac:dyDescent="0.25">
      <c r="A324">
        <v>323</v>
      </c>
      <c r="B324" s="13" t="s">
        <v>654</v>
      </c>
      <c r="C324" s="13" t="s">
        <v>655</v>
      </c>
      <c r="D324">
        <v>0</v>
      </c>
      <c r="E324" t="e">
        <f>VLOOKUP(B324,'working space'!F:F,1,FALSE)</f>
        <v>#N/A</v>
      </c>
    </row>
    <row r="325" spans="1:5" ht="39" x14ac:dyDescent="0.25">
      <c r="A325">
        <v>324</v>
      </c>
      <c r="B325" s="13" t="s">
        <v>656</v>
      </c>
      <c r="C325" s="13" t="s">
        <v>657</v>
      </c>
      <c r="D325">
        <v>0</v>
      </c>
      <c r="E325" t="e">
        <f>VLOOKUP(B325,'working space'!F:F,1,FALSE)</f>
        <v>#N/A</v>
      </c>
    </row>
    <row r="326" spans="1:5" ht="58.5" x14ac:dyDescent="0.25">
      <c r="A326">
        <v>325</v>
      </c>
      <c r="B326" s="13" t="s">
        <v>658</v>
      </c>
      <c r="C326" s="13" t="s">
        <v>659</v>
      </c>
      <c r="D326">
        <v>0</v>
      </c>
      <c r="E326" t="e">
        <f>VLOOKUP(B326,'working space'!F:F,1,FALSE)</f>
        <v>#N/A</v>
      </c>
    </row>
    <row r="327" spans="1:5" ht="39" x14ac:dyDescent="0.25">
      <c r="A327">
        <v>326</v>
      </c>
      <c r="B327" s="13" t="s">
        <v>660</v>
      </c>
      <c r="C327" s="13" t="s">
        <v>661</v>
      </c>
      <c r="D327">
        <v>0</v>
      </c>
      <c r="E327" t="e">
        <f>VLOOKUP(B327,'working space'!F:F,1,FALSE)</f>
        <v>#N/A</v>
      </c>
    </row>
    <row r="328" spans="1:5" ht="39" x14ac:dyDescent="0.25">
      <c r="A328">
        <v>327</v>
      </c>
      <c r="B328" s="13" t="s">
        <v>662</v>
      </c>
      <c r="C328" s="13" t="s">
        <v>663</v>
      </c>
      <c r="D328">
        <v>0</v>
      </c>
      <c r="E328" t="e">
        <f>VLOOKUP(B328,'working space'!F:F,1,FALSE)</f>
        <v>#N/A</v>
      </c>
    </row>
    <row r="329" spans="1:5" ht="39" x14ac:dyDescent="0.25">
      <c r="A329">
        <v>328</v>
      </c>
      <c r="B329" s="13" t="s">
        <v>664</v>
      </c>
      <c r="C329" s="13" t="s">
        <v>665</v>
      </c>
      <c r="D329">
        <v>0</v>
      </c>
      <c r="E329" t="e">
        <f>VLOOKUP(B329,'working space'!F:F,1,FALSE)</f>
        <v>#N/A</v>
      </c>
    </row>
    <row r="330" spans="1:5" ht="39" x14ac:dyDescent="0.25">
      <c r="A330">
        <v>329</v>
      </c>
      <c r="B330" s="13" t="s">
        <v>666</v>
      </c>
      <c r="C330" s="13" t="s">
        <v>667</v>
      </c>
      <c r="D330">
        <v>0</v>
      </c>
      <c r="E330" t="e">
        <f>VLOOKUP(B330,'working space'!F:F,1,FALSE)</f>
        <v>#N/A</v>
      </c>
    </row>
    <row r="331" spans="1:5" ht="39" x14ac:dyDescent="0.25">
      <c r="A331">
        <v>330</v>
      </c>
      <c r="B331" s="13" t="s">
        <v>668</v>
      </c>
      <c r="C331" s="13" t="s">
        <v>669</v>
      </c>
      <c r="D331">
        <v>0</v>
      </c>
      <c r="E331" t="e">
        <f>VLOOKUP(B331,'working space'!F:F,1,FALSE)</f>
        <v>#N/A</v>
      </c>
    </row>
    <row r="332" spans="1:5" ht="39" x14ac:dyDescent="0.25">
      <c r="A332">
        <v>331</v>
      </c>
      <c r="B332" s="13" t="s">
        <v>670</v>
      </c>
      <c r="C332" s="13" t="s">
        <v>671</v>
      </c>
      <c r="D332">
        <v>0</v>
      </c>
      <c r="E332" t="e">
        <f>VLOOKUP(B332,'working space'!F:F,1,FALSE)</f>
        <v>#N/A</v>
      </c>
    </row>
    <row r="333" spans="1:5" ht="39" x14ac:dyDescent="0.25">
      <c r="A333">
        <v>332</v>
      </c>
      <c r="B333" s="13" t="s">
        <v>672</v>
      </c>
      <c r="C333" s="13" t="s">
        <v>673</v>
      </c>
      <c r="D333">
        <v>0</v>
      </c>
      <c r="E333" t="e">
        <f>VLOOKUP(B333,'working space'!F:F,1,FALSE)</f>
        <v>#N/A</v>
      </c>
    </row>
    <row r="334" spans="1:5" ht="78" x14ac:dyDescent="0.25">
      <c r="A334">
        <v>333</v>
      </c>
      <c r="B334" s="13" t="s">
        <v>674</v>
      </c>
      <c r="C334" s="13" t="s">
        <v>675</v>
      </c>
      <c r="D334">
        <v>0</v>
      </c>
      <c r="E334" t="e">
        <f>VLOOKUP(B334,'working space'!F:F,1,FALSE)</f>
        <v>#N/A</v>
      </c>
    </row>
    <row r="335" spans="1:5" ht="39" x14ac:dyDescent="0.25">
      <c r="A335">
        <v>334</v>
      </c>
      <c r="B335" s="13" t="s">
        <v>676</v>
      </c>
      <c r="C335" s="13" t="s">
        <v>677</v>
      </c>
      <c r="D335">
        <v>0</v>
      </c>
      <c r="E335" t="e">
        <f>VLOOKUP(B335,'working space'!F:F,1,FALSE)</f>
        <v>#N/A</v>
      </c>
    </row>
    <row r="336" spans="1:5" ht="39" x14ac:dyDescent="0.25">
      <c r="A336">
        <v>335</v>
      </c>
      <c r="B336" s="13" t="s">
        <v>678</v>
      </c>
      <c r="C336" s="13" t="s">
        <v>679</v>
      </c>
      <c r="D336">
        <v>0</v>
      </c>
      <c r="E336" t="e">
        <f>VLOOKUP(B336,'working space'!F:F,1,FALSE)</f>
        <v>#N/A</v>
      </c>
    </row>
    <row r="337" spans="1:5" ht="39" x14ac:dyDescent="0.25">
      <c r="A337">
        <v>336</v>
      </c>
      <c r="B337" s="13" t="s">
        <v>680</v>
      </c>
      <c r="C337" s="13" t="s">
        <v>681</v>
      </c>
      <c r="D337">
        <v>0</v>
      </c>
      <c r="E337" t="e">
        <f>VLOOKUP(B337,'working space'!F:F,1,FALSE)</f>
        <v>#N/A</v>
      </c>
    </row>
    <row r="338" spans="1:5" ht="19.5" x14ac:dyDescent="0.25">
      <c r="A338">
        <v>337</v>
      </c>
      <c r="B338" s="13" t="s">
        <v>682</v>
      </c>
      <c r="C338" s="13" t="s">
        <v>683</v>
      </c>
      <c r="D338">
        <v>0</v>
      </c>
      <c r="E338" t="e">
        <f>VLOOKUP(B338,'working space'!F:F,1,FALSE)</f>
        <v>#N/A</v>
      </c>
    </row>
    <row r="339" spans="1:5" ht="19.5" x14ac:dyDescent="0.25">
      <c r="A339">
        <v>338</v>
      </c>
      <c r="B339" s="13" t="s">
        <v>684</v>
      </c>
      <c r="C339" s="13" t="s">
        <v>685</v>
      </c>
      <c r="D339">
        <v>0</v>
      </c>
      <c r="E339" t="e">
        <f>VLOOKUP(B339,'working space'!F:F,1,FALSE)</f>
        <v>#N/A</v>
      </c>
    </row>
    <row r="340" spans="1:5" ht="19.5" x14ac:dyDescent="0.25">
      <c r="A340">
        <v>339</v>
      </c>
      <c r="B340" s="13" t="s">
        <v>686</v>
      </c>
      <c r="C340" s="13" t="s">
        <v>687</v>
      </c>
      <c r="D340">
        <v>0</v>
      </c>
      <c r="E340" t="e">
        <f>VLOOKUP(B340,'working space'!F:F,1,FALSE)</f>
        <v>#N/A</v>
      </c>
    </row>
    <row r="341" spans="1:5" ht="39" x14ac:dyDescent="0.25">
      <c r="A341">
        <v>340</v>
      </c>
      <c r="B341" s="13" t="s">
        <v>688</v>
      </c>
      <c r="C341" s="13" t="s">
        <v>689</v>
      </c>
      <c r="D341">
        <v>0</v>
      </c>
      <c r="E341" t="e">
        <f>VLOOKUP(B341,'working space'!F:F,1,FALSE)</f>
        <v>#N/A</v>
      </c>
    </row>
    <row r="342" spans="1:5" ht="39" x14ac:dyDescent="0.25">
      <c r="A342">
        <v>341</v>
      </c>
      <c r="B342" s="13" t="s">
        <v>690</v>
      </c>
      <c r="C342" s="13" t="s">
        <v>691</v>
      </c>
      <c r="D342">
        <v>0</v>
      </c>
      <c r="E342" t="e">
        <f>VLOOKUP(B342,'working space'!F:F,1,FALSE)</f>
        <v>#N/A</v>
      </c>
    </row>
    <row r="343" spans="1:5" ht="78" x14ac:dyDescent="0.25">
      <c r="A343">
        <v>342</v>
      </c>
      <c r="B343" s="13" t="s">
        <v>692</v>
      </c>
      <c r="C343" s="13" t="s">
        <v>693</v>
      </c>
      <c r="D343" t="s">
        <v>1165</v>
      </c>
      <c r="E343" t="e">
        <f>VLOOKUP(B343,'working space'!F:F,1,FALSE)</f>
        <v>#N/A</v>
      </c>
    </row>
    <row r="344" spans="1:5" ht="39" x14ac:dyDescent="0.25">
      <c r="A344">
        <v>343</v>
      </c>
      <c r="B344" s="13" t="s">
        <v>694</v>
      </c>
      <c r="C344" s="13" t="s">
        <v>695</v>
      </c>
      <c r="D344" t="s">
        <v>1164</v>
      </c>
      <c r="E344" t="e">
        <f>VLOOKUP(B344,'working space'!F:F,1,FALSE)</f>
        <v>#N/A</v>
      </c>
    </row>
    <row r="345" spans="1:5" ht="58.5" x14ac:dyDescent="0.25">
      <c r="A345">
        <v>344</v>
      </c>
      <c r="B345" s="13" t="s">
        <v>696</v>
      </c>
      <c r="C345" s="13" t="s">
        <v>697</v>
      </c>
      <c r="D345" t="s">
        <v>1165</v>
      </c>
      <c r="E345" t="e">
        <f>VLOOKUP(B345,'working space'!F:F,1,FALSE)</f>
        <v>#N/A</v>
      </c>
    </row>
    <row r="346" spans="1:5" ht="58.5" x14ac:dyDescent="0.25">
      <c r="A346">
        <v>345</v>
      </c>
      <c r="B346" s="13" t="s">
        <v>698</v>
      </c>
      <c r="C346" s="13" t="s">
        <v>699</v>
      </c>
      <c r="D346" t="s">
        <v>1165</v>
      </c>
      <c r="E346" t="e">
        <f>VLOOKUP(B346,'working space'!F:F,1,FALSE)</f>
        <v>#N/A</v>
      </c>
    </row>
    <row r="347" spans="1:5" ht="58.5" x14ac:dyDescent="0.25">
      <c r="A347">
        <v>346</v>
      </c>
      <c r="B347" s="13" t="s">
        <v>700</v>
      </c>
      <c r="C347" s="13" t="s">
        <v>701</v>
      </c>
      <c r="D347" t="s">
        <v>1165</v>
      </c>
      <c r="E347" t="e">
        <f>VLOOKUP(B347,'working space'!F:F,1,FALSE)</f>
        <v>#N/A</v>
      </c>
    </row>
    <row r="348" spans="1:5" ht="39" x14ac:dyDescent="0.25">
      <c r="A348">
        <v>347</v>
      </c>
      <c r="B348" s="13" t="s">
        <v>702</v>
      </c>
      <c r="C348" s="13" t="s">
        <v>703</v>
      </c>
      <c r="D348" t="s">
        <v>1164</v>
      </c>
      <c r="E348" t="e">
        <f>VLOOKUP(B348,'working space'!F:F,1,FALSE)</f>
        <v>#N/A</v>
      </c>
    </row>
    <row r="349" spans="1:5" ht="39" x14ac:dyDescent="0.25">
      <c r="A349">
        <v>348</v>
      </c>
      <c r="B349" s="13" t="s">
        <v>704</v>
      </c>
      <c r="C349" s="13" t="s">
        <v>705</v>
      </c>
      <c r="D349" t="s">
        <v>1165</v>
      </c>
      <c r="E349" t="e">
        <f>VLOOKUP(B349,'working space'!F:F,1,FALSE)</f>
        <v>#N/A</v>
      </c>
    </row>
    <row r="350" spans="1:5" ht="39" x14ac:dyDescent="0.25">
      <c r="A350">
        <v>349</v>
      </c>
      <c r="B350" s="13" t="s">
        <v>706</v>
      </c>
      <c r="C350" s="13" t="s">
        <v>707</v>
      </c>
      <c r="D350" t="s">
        <v>1165</v>
      </c>
      <c r="E350" t="e">
        <f>VLOOKUP(B350,'working space'!F:F,1,FALSE)</f>
        <v>#N/A</v>
      </c>
    </row>
    <row r="351" spans="1:5" ht="58.5" x14ac:dyDescent="0.25">
      <c r="A351">
        <v>350</v>
      </c>
      <c r="B351" s="13" t="s">
        <v>708</v>
      </c>
      <c r="C351" s="13" t="s">
        <v>709</v>
      </c>
      <c r="D351" t="s">
        <v>1165</v>
      </c>
      <c r="E351" t="e">
        <f>VLOOKUP(B351,'working space'!F:F,1,FALSE)</f>
        <v>#N/A</v>
      </c>
    </row>
    <row r="352" spans="1:5" ht="97.5" x14ac:dyDescent="0.25">
      <c r="A352">
        <v>351</v>
      </c>
      <c r="B352" s="13" t="s">
        <v>710</v>
      </c>
      <c r="C352" s="13" t="s">
        <v>711</v>
      </c>
      <c r="D352" t="s">
        <v>1165</v>
      </c>
      <c r="E352" t="e">
        <f>VLOOKUP(B352,'working space'!F:F,1,FALSE)</f>
        <v>#N/A</v>
      </c>
    </row>
    <row r="353" spans="1:7" ht="78" x14ac:dyDescent="0.25">
      <c r="A353">
        <v>352</v>
      </c>
      <c r="B353" s="13" t="s">
        <v>712</v>
      </c>
      <c r="C353" s="13" t="s">
        <v>713</v>
      </c>
      <c r="D353" t="s">
        <v>1165</v>
      </c>
      <c r="E353" t="e">
        <f>VLOOKUP(B353,'working space'!F:F,1,FALSE)</f>
        <v>#N/A</v>
      </c>
    </row>
    <row r="354" spans="1:7" ht="97.5" x14ac:dyDescent="0.25">
      <c r="A354">
        <v>353</v>
      </c>
      <c r="B354" s="13" t="s">
        <v>714</v>
      </c>
      <c r="C354" s="13" t="s">
        <v>715</v>
      </c>
      <c r="D354" t="s">
        <v>1165</v>
      </c>
      <c r="E354" t="e">
        <f>VLOOKUP(B354,'working space'!F:F,1,FALSE)</f>
        <v>#N/A</v>
      </c>
    </row>
    <row r="355" spans="1:7" ht="78" x14ac:dyDescent="0.25">
      <c r="A355">
        <v>354</v>
      </c>
      <c r="B355" s="13" t="s">
        <v>716</v>
      </c>
      <c r="C355" s="13" t="s">
        <v>717</v>
      </c>
      <c r="D355" t="s">
        <v>1165</v>
      </c>
      <c r="E355" t="e">
        <f>VLOOKUP(B355,'working space'!F:F,1,FALSE)</f>
        <v>#N/A</v>
      </c>
    </row>
    <row r="356" spans="1:7" ht="97.5" x14ac:dyDescent="0.25">
      <c r="A356">
        <v>355</v>
      </c>
      <c r="B356" s="13" t="s">
        <v>718</v>
      </c>
      <c r="C356" s="13" t="s">
        <v>719</v>
      </c>
      <c r="D356" t="s">
        <v>1165</v>
      </c>
      <c r="E356" t="e">
        <f>VLOOKUP(B356,'working space'!F:F,1,FALSE)</f>
        <v>#N/A</v>
      </c>
    </row>
    <row r="357" spans="1:7" ht="117" x14ac:dyDescent="0.25">
      <c r="A357">
        <v>356</v>
      </c>
      <c r="B357" s="13" t="s">
        <v>720</v>
      </c>
      <c r="C357" s="13" t="s">
        <v>721</v>
      </c>
      <c r="D357" t="s">
        <v>1165</v>
      </c>
      <c r="E357" t="e">
        <f>VLOOKUP(B357,'working space'!F:F,1,FALSE)</f>
        <v>#N/A</v>
      </c>
    </row>
    <row r="358" spans="1:7" ht="58.5" x14ac:dyDescent="0.25">
      <c r="A358">
        <v>357</v>
      </c>
      <c r="B358" s="13" t="s">
        <v>722</v>
      </c>
      <c r="C358" s="13" t="s">
        <v>723</v>
      </c>
      <c r="D358" t="s">
        <v>1162</v>
      </c>
      <c r="E358" t="str">
        <f>VLOOKUP(B358,'working space'!F:F,1,FALSE)</f>
        <v>NTR_LBW_1_</v>
      </c>
      <c r="F358" t="str">
        <f>VLOOKUP(B358,Temp!D:D,1,FALSE)</f>
        <v>NTR_LBW_1_</v>
      </c>
      <c r="G358" t="str">
        <f>VLOOKUP(B358,Temp!D:D,1,FALSE)</f>
        <v>NTR_LBW_1_</v>
      </c>
    </row>
    <row r="359" spans="1:7" ht="39" x14ac:dyDescent="0.25">
      <c r="A359">
        <v>358</v>
      </c>
      <c r="B359" s="13" t="s">
        <v>724</v>
      </c>
      <c r="C359" s="13" t="s">
        <v>725</v>
      </c>
      <c r="D359" t="s">
        <v>1162</v>
      </c>
      <c r="E359" t="str">
        <f>VLOOKUP(B359,'working space'!F:F,1,FALSE)</f>
        <v>NTR_LBW_2_</v>
      </c>
      <c r="F359" t="str">
        <f>VLOOKUP(B359,Temp!D:D,1,FALSE)</f>
        <v>NTR_LBW_2_</v>
      </c>
      <c r="G359" t="str">
        <f>VLOOKUP(B359,Temp!D:D,1,FALSE)</f>
        <v>NTR_LBW_2_</v>
      </c>
    </row>
    <row r="360" spans="1:7" ht="58.5" x14ac:dyDescent="0.25">
      <c r="A360">
        <v>359</v>
      </c>
      <c r="B360" s="13" t="s">
        <v>726</v>
      </c>
      <c r="C360" s="13" t="s">
        <v>727</v>
      </c>
      <c r="D360" t="s">
        <v>1162</v>
      </c>
      <c r="E360" t="str">
        <f>VLOOKUP(B360,'working space'!F:F,1,FALSE)</f>
        <v>NTR_GMP_1</v>
      </c>
      <c r="F360" t="str">
        <f>VLOOKUP(B360,Temp!D:D,1,FALSE)</f>
        <v>NTR_GMP_1</v>
      </c>
      <c r="G360" t="str">
        <f>VLOOKUP(B360,Temp!D:D,1,FALSE)</f>
        <v>NTR_GMP_1</v>
      </c>
    </row>
    <row r="361" spans="1:7" ht="58.5" x14ac:dyDescent="0.25">
      <c r="A361">
        <v>360</v>
      </c>
      <c r="B361" s="13" t="s">
        <v>728</v>
      </c>
      <c r="C361" s="13" t="s">
        <v>729</v>
      </c>
      <c r="D361" t="s">
        <v>1162</v>
      </c>
      <c r="E361" t="str">
        <f>VLOOKUP(B361,'working space'!F:F,1,FALSE)</f>
        <v>NTR_GMP_2</v>
      </c>
      <c r="F361" t="str">
        <f>VLOOKUP(B361,Temp!D:D,1,FALSE)</f>
        <v>NTR_GMP_2</v>
      </c>
      <c r="G361" t="str">
        <f>VLOOKUP(B361,Temp!D:D,1,FALSE)</f>
        <v>NTR_GMP_2</v>
      </c>
    </row>
    <row r="362" spans="1:7" ht="58.5" x14ac:dyDescent="0.25">
      <c r="A362">
        <v>361</v>
      </c>
      <c r="B362" s="13" t="s">
        <v>730</v>
      </c>
      <c r="C362" s="13" t="s">
        <v>731</v>
      </c>
      <c r="D362" t="s">
        <v>1162</v>
      </c>
      <c r="E362" t="str">
        <f>VLOOKUP(B362,'working space'!F:F,1,FALSE)</f>
        <v>NTR_GMP_MM_1</v>
      </c>
      <c r="F362" t="str">
        <f>VLOOKUP(B362,Temp!D:D,1,FALSE)</f>
        <v>NTR_GMP_MM_1</v>
      </c>
      <c r="G362" t="str">
        <f>VLOOKUP(B362,Temp!D:D,1,FALSE)</f>
        <v>NTR_GMP_MM_1</v>
      </c>
    </row>
    <row r="363" spans="1:7" ht="58.5" x14ac:dyDescent="0.25">
      <c r="A363">
        <v>362</v>
      </c>
      <c r="B363" s="13" t="s">
        <v>732</v>
      </c>
      <c r="C363" s="13" t="s">
        <v>733</v>
      </c>
      <c r="D363" t="s">
        <v>1162</v>
      </c>
      <c r="E363" t="str">
        <f>VLOOKUP(B363,'working space'!F:F,1,FALSE)</f>
        <v>NTR_GMP_MM_2</v>
      </c>
      <c r="F363" t="str">
        <f>VLOOKUP(B363,Temp!D:D,1,FALSE)</f>
        <v>NTR_GMP_MM_2</v>
      </c>
      <c r="G363" t="str">
        <f>VLOOKUP(B363,Temp!D:D,1,FALSE)</f>
        <v>NTR_GMP_MM_2</v>
      </c>
    </row>
    <row r="364" spans="1:7" ht="97.5" x14ac:dyDescent="0.25">
      <c r="A364">
        <v>363</v>
      </c>
      <c r="B364" s="13" t="s">
        <v>734</v>
      </c>
      <c r="C364" s="13" t="s">
        <v>735</v>
      </c>
      <c r="D364" t="s">
        <v>1162</v>
      </c>
      <c r="E364" t="str">
        <f>VLOOKUP(B364,'working space'!F:F,1,FALSE)</f>
        <v>GMP_SM_1</v>
      </c>
      <c r="F364" t="str">
        <f>VLOOKUP(B364,Temp!D:D,1,FALSE)</f>
        <v>GMP_SM_1</v>
      </c>
      <c r="G364" t="str">
        <f>VLOOKUP(B364,Temp!D:D,1,FALSE)</f>
        <v>GMP_SM_1</v>
      </c>
    </row>
    <row r="365" spans="1:7" ht="97.5" x14ac:dyDescent="0.25">
      <c r="A365">
        <v>364</v>
      </c>
      <c r="B365" s="13" t="s">
        <v>736</v>
      </c>
      <c r="C365" s="13" t="s">
        <v>737</v>
      </c>
      <c r="D365" t="s">
        <v>1162</v>
      </c>
      <c r="E365" t="str">
        <f>VLOOKUP(B365,'working space'!F:F,1,FALSE)</f>
        <v>GMP_SM_2</v>
      </c>
      <c r="F365" t="str">
        <f>VLOOKUP(B365,Temp!D:D,1,FALSE)</f>
        <v>GMP_SM_2</v>
      </c>
      <c r="G365" t="str">
        <f>VLOOKUP(B365,Temp!D:D,1,FALSE)</f>
        <v>GMP_SM_2</v>
      </c>
    </row>
    <row r="366" spans="1:7" ht="58.5" x14ac:dyDescent="0.25">
      <c r="A366">
        <v>365</v>
      </c>
      <c r="B366" s="13" t="s">
        <v>738</v>
      </c>
      <c r="C366" s="13" t="s">
        <v>739</v>
      </c>
      <c r="D366" t="s">
        <v>1162</v>
      </c>
      <c r="E366" t="str">
        <f>VLOOKUP(B366,'working space'!F:F,1,FALSE)</f>
        <v>NUT_VITA_1_1</v>
      </c>
      <c r="F366" t="str">
        <f>VLOOKUP(B366,Temp!D:D,1,FALSE)</f>
        <v>NUT_VITA_1_1</v>
      </c>
      <c r="G366" t="str">
        <f>VLOOKUP(B366,Temp!D:D,1,FALSE)</f>
        <v>NUT_VITA_1_1</v>
      </c>
    </row>
    <row r="367" spans="1:7" ht="58.5" x14ac:dyDescent="0.25">
      <c r="A367">
        <v>366</v>
      </c>
      <c r="B367" s="13" t="s">
        <v>740</v>
      </c>
      <c r="C367" s="13" t="s">
        <v>741</v>
      </c>
      <c r="D367" t="s">
        <v>1162</v>
      </c>
      <c r="E367" t="str">
        <f>VLOOKUP(B367,'working space'!F:F,1,FALSE)</f>
        <v>NUT_VITA_1_2</v>
      </c>
      <c r="F367" t="str">
        <f>VLOOKUP(B367,Temp!D:D,1,FALSE)</f>
        <v>NUT_VITA_1_2</v>
      </c>
      <c r="G367" t="str">
        <f>VLOOKUP(B367,Temp!D:D,1,FALSE)</f>
        <v>NUT_VITA_1_2</v>
      </c>
    </row>
    <row r="368" spans="1:7" ht="97.5" x14ac:dyDescent="0.25">
      <c r="A368">
        <v>367</v>
      </c>
      <c r="B368" s="13" t="s">
        <v>742</v>
      </c>
      <c r="C368" s="13" t="s">
        <v>743</v>
      </c>
      <c r="D368" t="s">
        <v>1162</v>
      </c>
      <c r="E368" t="str">
        <f>VLOOKUP(B368,'working space'!F:F,1,FALSE)</f>
        <v>NUT_VITA_2_1</v>
      </c>
      <c r="F368" t="str">
        <f>VLOOKUP(B368,Temp!D:D,1,FALSE)</f>
        <v>NUT_VITA_2_1</v>
      </c>
      <c r="G368" t="str">
        <f>VLOOKUP(B368,Temp!D:D,1,FALSE)</f>
        <v>NUT_VITA_2_1</v>
      </c>
    </row>
    <row r="369" spans="1:7" ht="97.5" x14ac:dyDescent="0.25">
      <c r="A369">
        <v>368</v>
      </c>
      <c r="B369" s="13" t="s">
        <v>744</v>
      </c>
      <c r="C369" s="13" t="s">
        <v>745</v>
      </c>
      <c r="D369" t="s">
        <v>1162</v>
      </c>
      <c r="E369" t="str">
        <f>VLOOKUP(B369,'working space'!F:F,1,FALSE)</f>
        <v>NUT_VITA_2_2</v>
      </c>
      <c r="F369" t="str">
        <f>VLOOKUP(B369,Temp!D:D,1,FALSE)</f>
        <v>NUT_VITA_2_2</v>
      </c>
      <c r="G369" t="str">
        <f>VLOOKUP(B369,Temp!D:D,1,FALSE)</f>
        <v>NUT_VITA_2_2</v>
      </c>
    </row>
    <row r="370" spans="1:7" ht="58.5" x14ac:dyDescent="0.25">
      <c r="A370">
        <v>369</v>
      </c>
      <c r="B370" s="13" t="s">
        <v>746</v>
      </c>
      <c r="C370" s="13" t="s">
        <v>747</v>
      </c>
      <c r="D370" t="s">
        <v>1162</v>
      </c>
      <c r="E370" t="str">
        <f>VLOOKUP(B370,'working space'!F:F,1,FALSE)</f>
        <v>NUT_DeW_1_1</v>
      </c>
      <c r="F370" t="str">
        <f>VLOOKUP(B370,Temp!D:D,1,FALSE)</f>
        <v>NUT_DeW_1_1</v>
      </c>
      <c r="G370" t="str">
        <f>VLOOKUP(B370,Temp!D:D,1,FALSE)</f>
        <v>NUT_DeW_1_1</v>
      </c>
    </row>
    <row r="371" spans="1:7" ht="58.5" x14ac:dyDescent="0.25">
      <c r="A371">
        <v>370</v>
      </c>
      <c r="B371" s="13" t="s">
        <v>748</v>
      </c>
      <c r="C371" s="13" t="s">
        <v>749</v>
      </c>
      <c r="D371" t="s">
        <v>1162</v>
      </c>
      <c r="E371" t="str">
        <f>VLOOKUP(B371,'working space'!F:F,1,FALSE)</f>
        <v>NUT_DeW_1_2</v>
      </c>
      <c r="F371" t="str">
        <f>VLOOKUP(B371,Temp!D:D,1,FALSE)</f>
        <v>NUT_DeW_1_2</v>
      </c>
      <c r="G371" t="str">
        <f>VLOOKUP(B371,Temp!D:D,1,FALSE)</f>
        <v>NUT_DeW_1_2</v>
      </c>
    </row>
    <row r="372" spans="1:7" ht="39" x14ac:dyDescent="0.25">
      <c r="A372">
        <v>371</v>
      </c>
      <c r="B372" s="13" t="s">
        <v>750</v>
      </c>
      <c r="C372" s="13" t="s">
        <v>751</v>
      </c>
      <c r="D372" t="s">
        <v>1162</v>
      </c>
      <c r="E372" t="str">
        <f>VLOOKUP(B372,'working space'!F:F,1,FALSE)</f>
        <v>NUT_DeW_2</v>
      </c>
      <c r="F372" t="str">
        <f>VLOOKUP(B372,Temp!D:D,1,FALSE)</f>
        <v>NUT_DeW_2</v>
      </c>
      <c r="G372" t="str">
        <f>VLOOKUP(B372,Temp!D:D,1,FALSE)</f>
        <v>NUT_DeW_2</v>
      </c>
    </row>
    <row r="373" spans="1:7" ht="58.5" x14ac:dyDescent="0.25">
      <c r="A373">
        <v>372</v>
      </c>
      <c r="B373" s="13" t="s">
        <v>752</v>
      </c>
      <c r="C373" s="13" t="s">
        <v>753</v>
      </c>
      <c r="D373" t="s">
        <v>1162</v>
      </c>
      <c r="E373" t="str">
        <f>VLOOKUP(B373,'working space'!F:F,1,FALSE)</f>
        <v>NUT_IFA_1_1</v>
      </c>
      <c r="F373" t="str">
        <f>VLOOKUP(B373,Temp!D:D,1,FALSE)</f>
        <v>NUT_IFA_1_1</v>
      </c>
      <c r="G373" t="str">
        <f>VLOOKUP(B373,Temp!D:D,1,FALSE)</f>
        <v>NUT_IFA_1_1</v>
      </c>
    </row>
    <row r="374" spans="1:7" ht="58.5" x14ac:dyDescent="0.25">
      <c r="A374">
        <v>373</v>
      </c>
      <c r="B374" s="13" t="s">
        <v>754</v>
      </c>
      <c r="C374" s="13" t="s">
        <v>755</v>
      </c>
      <c r="D374" t="s">
        <v>1162</v>
      </c>
      <c r="E374" t="str">
        <f>VLOOKUP(B374,'working space'!F:F,1,FALSE)</f>
        <v>NUT_IFA_1_2</v>
      </c>
      <c r="F374" t="str">
        <f>VLOOKUP(B374,Temp!D:D,1,FALSE)</f>
        <v>NUT_IFA_1_2</v>
      </c>
      <c r="G374" t="str">
        <f>VLOOKUP(B374,Temp!D:D,1,FALSE)</f>
        <v>NUT_IFA_1_2</v>
      </c>
    </row>
    <row r="375" spans="1:7" ht="58.5" x14ac:dyDescent="0.25">
      <c r="A375">
        <v>374</v>
      </c>
      <c r="B375" s="13" t="s">
        <v>756</v>
      </c>
      <c r="C375" s="13" t="s">
        <v>757</v>
      </c>
      <c r="D375" t="s">
        <v>1162</v>
      </c>
      <c r="E375" t="str">
        <f>VLOOKUP(B375,'working space'!F:F,1,FALSE)</f>
        <v>NUT_IFA_1_3</v>
      </c>
      <c r="F375" t="str">
        <f>VLOOKUP(B375,Temp!D:D,1,FALSE)</f>
        <v>NUT_IFA_1_3</v>
      </c>
      <c r="G375" t="str">
        <f>VLOOKUP(B375,Temp!D:D,1,FALSE)</f>
        <v>NUT_IFA_1_3</v>
      </c>
    </row>
    <row r="376" spans="1:7" ht="39" x14ac:dyDescent="0.25">
      <c r="A376">
        <v>375</v>
      </c>
      <c r="B376" s="13" t="s">
        <v>758</v>
      </c>
      <c r="C376" s="13" t="s">
        <v>759</v>
      </c>
      <c r="D376" t="s">
        <v>1162</v>
      </c>
      <c r="E376" t="e">
        <f>VLOOKUP(B376,'working space'!F:F,1,FALSE)</f>
        <v>#N/A</v>
      </c>
      <c r="F376" t="e">
        <f>VLOOKUP(B376,Temp!D:D,1,FALSE)</f>
        <v>#N/A</v>
      </c>
      <c r="G376" t="e">
        <f>VLOOKUP(B376,Temp!D:D,1,FALSE)</f>
        <v>#N/A</v>
      </c>
    </row>
    <row r="377" spans="1:7" ht="58.5" x14ac:dyDescent="0.25">
      <c r="A377">
        <v>376</v>
      </c>
      <c r="B377" s="13" t="s">
        <v>760</v>
      </c>
      <c r="C377" s="13" t="s">
        <v>761</v>
      </c>
      <c r="D377" t="s">
        <v>1162</v>
      </c>
      <c r="E377" t="str">
        <f>VLOOKUP(B377,'working space'!F:F,1,FALSE)</f>
        <v>PLW_S4AM_1</v>
      </c>
      <c r="F377" t="str">
        <f>VLOOKUP(B377,Temp!D:D,1,FALSE)</f>
        <v>PLW_S4AM_1</v>
      </c>
      <c r="G377" t="str">
        <f>VLOOKUP(B377,Temp!D:D,1,FALSE)</f>
        <v>PLW_S4AM_1</v>
      </c>
    </row>
    <row r="378" spans="1:7" ht="78" x14ac:dyDescent="0.25">
      <c r="A378">
        <v>377</v>
      </c>
      <c r="B378" s="13" t="s">
        <v>762</v>
      </c>
      <c r="C378" s="13" t="s">
        <v>763</v>
      </c>
      <c r="D378" t="s">
        <v>1162</v>
      </c>
      <c r="E378" t="str">
        <f>VLOOKUP(B378,'working space'!F:F,1,FALSE)</f>
        <v>PLW_S4AM_2</v>
      </c>
      <c r="F378" t="str">
        <f>VLOOKUP(B378,Temp!D:D,1,FALSE)</f>
        <v>PLW_S4AM_2</v>
      </c>
      <c r="G378" t="str">
        <f>VLOOKUP(B378,Temp!D:D,1,FALSE)</f>
        <v>PLW_S4AM_2</v>
      </c>
    </row>
    <row r="379" spans="1:7" ht="78" x14ac:dyDescent="0.25">
      <c r="A379">
        <v>378</v>
      </c>
      <c r="B379" s="13" t="s">
        <v>764</v>
      </c>
      <c r="C379" s="13" t="s">
        <v>765</v>
      </c>
      <c r="D379" t="s">
        <v>1162</v>
      </c>
      <c r="E379" t="str">
        <f>VLOOKUP(B379,'working space'!F:F,1,FALSE)</f>
        <v>NUT_PreSMN_2_1</v>
      </c>
      <c r="F379" t="str">
        <f>VLOOKUP(B379,Temp!D:D,1,FALSE)</f>
        <v>NUT_PreSMN_2_1</v>
      </c>
      <c r="G379" t="str">
        <f>VLOOKUP(B379,Temp!D:D,1,FALSE)</f>
        <v>NUT_PreSMN_2_1</v>
      </c>
    </row>
    <row r="380" spans="1:7" ht="78" x14ac:dyDescent="0.25">
      <c r="A380">
        <v>379</v>
      </c>
      <c r="B380" s="13" t="s">
        <v>766</v>
      </c>
      <c r="C380" s="13" t="s">
        <v>767</v>
      </c>
      <c r="D380" t="s">
        <v>1162</v>
      </c>
      <c r="E380" t="str">
        <f>VLOOKUP(B380,'working space'!F:F,1,FALSE)</f>
        <v>NUT_PreSMN_2_2</v>
      </c>
      <c r="F380" t="str">
        <f>VLOOKUP(B380,Temp!D:D,1,FALSE)</f>
        <v>NUT_PreSMN_2_2</v>
      </c>
      <c r="G380" t="str">
        <f>VLOOKUP(B380,Temp!D:D,1,FALSE)</f>
        <v>NUT_PreSMN_2_2</v>
      </c>
    </row>
    <row r="381" spans="1:7" ht="58.5" x14ac:dyDescent="0.25">
      <c r="A381">
        <v>380</v>
      </c>
      <c r="B381" s="13" t="s">
        <v>768</v>
      </c>
      <c r="C381" s="13" t="s">
        <v>769</v>
      </c>
      <c r="D381" t="s">
        <v>1162</v>
      </c>
      <c r="E381" t="e">
        <f>VLOOKUP(B381,'working space'!F:F,1,FALSE)</f>
        <v>#N/A</v>
      </c>
      <c r="F381" t="str">
        <f>VLOOKUP(B381,Temp!D:D,1,FALSE)</f>
        <v>NUT_U5SMN_1_1</v>
      </c>
      <c r="G381" t="str">
        <f>VLOOKUP(B381,Temp!D:D,1,FALSE)</f>
        <v>NUT_U5SMN_1_1</v>
      </c>
    </row>
    <row r="382" spans="1:7" ht="58.5" x14ac:dyDescent="0.25">
      <c r="A382">
        <v>381</v>
      </c>
      <c r="B382" s="13" t="s">
        <v>770</v>
      </c>
      <c r="C382" s="13" t="s">
        <v>771</v>
      </c>
      <c r="D382" t="s">
        <v>1162</v>
      </c>
      <c r="E382" t="e">
        <f>VLOOKUP(B382,'working space'!F:F,1,FALSE)</f>
        <v>#N/A</v>
      </c>
      <c r="F382" t="str">
        <f>VLOOKUP(B382,Temp!D:D,1,FALSE)</f>
        <v>NUT_U5SMN_1_2</v>
      </c>
      <c r="G382" t="str">
        <f>VLOOKUP(B382,Temp!D:D,1,FALSE)</f>
        <v>NUT_U5SMN_1_2</v>
      </c>
    </row>
    <row r="383" spans="1:7" ht="58.5" x14ac:dyDescent="0.25">
      <c r="A383">
        <v>382</v>
      </c>
      <c r="B383" s="13" t="s">
        <v>772</v>
      </c>
      <c r="C383" s="13" t="s">
        <v>773</v>
      </c>
      <c r="D383" t="s">
        <v>1162</v>
      </c>
      <c r="E383" t="str">
        <f>VLOOKUP(B383,'working space'!F:F,1,FALSE)</f>
        <v>NUT_U5SMN_1_3</v>
      </c>
      <c r="F383" t="str">
        <f>VLOOKUP(B383,Temp!D:D,1,FALSE)</f>
        <v>NUT_U5SMN_1_3</v>
      </c>
      <c r="G383" t="str">
        <f>VLOOKUP(B383,Temp!D:D,1,FALSE)</f>
        <v>NUT_U5SMN_1_3</v>
      </c>
    </row>
    <row r="384" spans="1:7" ht="78" x14ac:dyDescent="0.25">
      <c r="A384">
        <v>383</v>
      </c>
      <c r="B384" s="13" t="s">
        <v>774</v>
      </c>
      <c r="C384" s="13" t="s">
        <v>775</v>
      </c>
      <c r="D384" t="s">
        <v>1162</v>
      </c>
      <c r="E384" t="str">
        <f>VLOOKUP(B384,'working space'!F:F,1,FALSE)</f>
        <v>NUT_U5SMN_MAM_1_1</v>
      </c>
      <c r="F384" t="str">
        <f>VLOOKUP(B384,Temp!D:D,1,FALSE)</f>
        <v>NUT_U5SMN_MAM_1_1</v>
      </c>
      <c r="G384" t="str">
        <f>VLOOKUP(B384,Temp!D:D,1,FALSE)</f>
        <v>NUT_U5SMN_MAM_1_1</v>
      </c>
    </row>
    <row r="385" spans="1:7" ht="78" x14ac:dyDescent="0.25">
      <c r="A385">
        <v>384</v>
      </c>
      <c r="B385" s="13" t="s">
        <v>776</v>
      </c>
      <c r="C385" s="13" t="s">
        <v>777</v>
      </c>
      <c r="D385" t="s">
        <v>1162</v>
      </c>
      <c r="E385" t="str">
        <f>VLOOKUP(B385,'working space'!F:F,1,FALSE)</f>
        <v>NUT_U5SMN_MAM_1_2</v>
      </c>
      <c r="F385" t="str">
        <f>VLOOKUP(B385,Temp!D:D,1,FALSE)</f>
        <v>NUT_U5SMN_MAM_1_2</v>
      </c>
      <c r="G385" t="str">
        <f>VLOOKUP(B385,Temp!D:D,1,FALSE)</f>
        <v>NUT_U5SMN_MAM_1_2</v>
      </c>
    </row>
    <row r="386" spans="1:7" ht="78" x14ac:dyDescent="0.25">
      <c r="A386">
        <v>385</v>
      </c>
      <c r="B386" s="13" t="s">
        <v>778</v>
      </c>
      <c r="C386" s="13" t="s">
        <v>779</v>
      </c>
      <c r="D386" t="s">
        <v>1162</v>
      </c>
      <c r="E386" t="str">
        <f>VLOOKUP(B386,'working space'!F:F,1,FALSE)</f>
        <v>NUT_U5SMN_MAM_1_3</v>
      </c>
      <c r="F386" t="str">
        <f>VLOOKUP(B386,Temp!D:D,1,FALSE)</f>
        <v>NUT_U5SMN_MAM_1_3</v>
      </c>
      <c r="G386" t="str">
        <f>VLOOKUP(B386,Temp!D:D,1,FALSE)</f>
        <v>NUT_U5SMN_MAM_1_3</v>
      </c>
    </row>
    <row r="387" spans="1:7" ht="78" x14ac:dyDescent="0.25">
      <c r="A387">
        <v>386</v>
      </c>
      <c r="B387" s="13" t="s">
        <v>780</v>
      </c>
      <c r="C387" s="13" t="s">
        <v>781</v>
      </c>
      <c r="D387" t="s">
        <v>1162</v>
      </c>
      <c r="E387" t="str">
        <f>VLOOKUP(B387,'working space'!F:F,1,FALSE)</f>
        <v>NUT_U5SMN_SAM_1_1</v>
      </c>
      <c r="F387" t="str">
        <f>VLOOKUP(B387,Temp!D:D,1,FALSE)</f>
        <v>NUT_U5SMN_SAM_1_1</v>
      </c>
      <c r="G387" t="str">
        <f>VLOOKUP(B387,Temp!D:D,1,FALSE)</f>
        <v>NUT_U5SMN_SAM_1_1</v>
      </c>
    </row>
    <row r="388" spans="1:7" ht="78" x14ac:dyDescent="0.25">
      <c r="A388">
        <v>387</v>
      </c>
      <c r="B388" s="13" t="s">
        <v>782</v>
      </c>
      <c r="C388" s="13" t="s">
        <v>783</v>
      </c>
      <c r="D388" t="s">
        <v>1162</v>
      </c>
      <c r="E388" t="str">
        <f>VLOOKUP(B388,'working space'!F:F,1,FALSE)</f>
        <v>NUT_U5SMN_SAM_1_2</v>
      </c>
      <c r="F388" t="str">
        <f>VLOOKUP(B388,Temp!D:D,1,FALSE)</f>
        <v>NUT_U5SMN_SAM_1_2</v>
      </c>
      <c r="G388" t="str">
        <f>VLOOKUP(B388,Temp!D:D,1,FALSE)</f>
        <v>NUT_U5SMN_SAM_1_2</v>
      </c>
    </row>
    <row r="389" spans="1:7" ht="78" x14ac:dyDescent="0.25">
      <c r="A389">
        <v>388</v>
      </c>
      <c r="B389" s="13" t="s">
        <v>784</v>
      </c>
      <c r="C389" s="13" t="s">
        <v>785</v>
      </c>
      <c r="D389" t="s">
        <v>1162</v>
      </c>
      <c r="E389" t="str">
        <f>VLOOKUP(B389,'working space'!F:F,1,FALSE)</f>
        <v>NUT_U5SMN_SAM_1_3</v>
      </c>
      <c r="F389" t="str">
        <f>VLOOKUP(B389,Temp!D:D,1,FALSE)</f>
        <v>NUT_U5SMN_SAM_1_3</v>
      </c>
      <c r="G389" t="str">
        <f>VLOOKUP(B389,Temp!D:D,1,FALSE)</f>
        <v>NUT_U5SMN_SAM_1_3</v>
      </c>
    </row>
    <row r="390" spans="1:7" ht="78" x14ac:dyDescent="0.25">
      <c r="A390">
        <v>389</v>
      </c>
      <c r="B390" s="13" t="s">
        <v>786</v>
      </c>
      <c r="C390" s="13" t="s">
        <v>787</v>
      </c>
      <c r="D390" t="s">
        <v>1162</v>
      </c>
      <c r="E390" t="str">
        <f>VLOOKUP(B390,'working space'!F:F,1,FALSE)</f>
        <v>NUT_TX-U5MN_SAM_Beging_SC_1_1</v>
      </c>
      <c r="F390" t="str">
        <f>VLOOKUP(B390,Temp!D:D,1,FALSE)</f>
        <v>NUT_TX-U5MN_SAM_Beging_SC_1_1</v>
      </c>
      <c r="G390" t="str">
        <f>VLOOKUP(B390,Temp!D:D,1,FALSE)</f>
        <v>NUT_TX-U5MN_SAM_Beging_SC_1_1</v>
      </c>
    </row>
    <row r="391" spans="1:7" ht="78" x14ac:dyDescent="0.25">
      <c r="A391">
        <v>390</v>
      </c>
      <c r="B391" s="13" t="s">
        <v>788</v>
      </c>
      <c r="C391" s="13" t="s">
        <v>789</v>
      </c>
      <c r="D391" t="s">
        <v>1162</v>
      </c>
      <c r="E391" t="str">
        <f>VLOOKUP(B391,'working space'!F:F,1,FALSE)</f>
        <v>NUT_TX-U5MN_SAM_Beging_SC_1_2</v>
      </c>
      <c r="F391" t="str">
        <f>VLOOKUP(B391,Temp!D:D,1,FALSE)</f>
        <v>NUT_TX-U5MN_SAM_Beging_SC_1_2</v>
      </c>
      <c r="G391" t="str">
        <f>VLOOKUP(B391,Temp!D:D,1,FALSE)</f>
        <v>NUT_TX-U5MN_SAM_Beging_SC_1_2</v>
      </c>
    </row>
    <row r="392" spans="1:7" ht="78" x14ac:dyDescent="0.25">
      <c r="A392">
        <v>391</v>
      </c>
      <c r="B392" s="13" t="s">
        <v>790</v>
      </c>
      <c r="C392" s="13" t="s">
        <v>791</v>
      </c>
      <c r="D392" t="s">
        <v>1162</v>
      </c>
      <c r="E392" t="str">
        <f>VLOOKUP(B392,'working space'!F:F,1,FALSE)</f>
        <v>NUT_TX-U5MN_SAM_Beging_SC_1_3</v>
      </c>
      <c r="F392" t="str">
        <f>VLOOKUP(B392,Temp!D:D,1,FALSE)</f>
        <v>NUT_TX-U5MN_SAM_Beging_SC_1_3</v>
      </c>
      <c r="G392" t="str">
        <f>VLOOKUP(B392,Temp!D:D,1,FALSE)</f>
        <v>NUT_TX-U5MN_SAM_Beging_SC_1_3</v>
      </c>
    </row>
    <row r="393" spans="1:7" ht="117" x14ac:dyDescent="0.25">
      <c r="A393">
        <v>392</v>
      </c>
      <c r="B393" s="13" t="s">
        <v>792</v>
      </c>
      <c r="C393" s="13" t="s">
        <v>793</v>
      </c>
      <c r="D393" t="s">
        <v>1162</v>
      </c>
      <c r="E393" t="str">
        <f>VLOOKUP(B393,'working space'!F:F,1,FALSE)</f>
        <v>NUT_TX-U5MN_SAM__Adt_SC_2_1</v>
      </c>
      <c r="F393" t="str">
        <f>VLOOKUP(B393,Temp!D:D,1,FALSE)</f>
        <v>NUT_TX-U5MN_SAM__Adt_SC_2_1</v>
      </c>
      <c r="G393" t="str">
        <f>VLOOKUP(B393,Temp!D:D,1,FALSE)</f>
        <v>NUT_TX-U5MN_SAM__Adt_SC_2_1</v>
      </c>
    </row>
    <row r="394" spans="1:7" ht="117" x14ac:dyDescent="0.25">
      <c r="A394">
        <v>393</v>
      </c>
      <c r="B394" s="13" t="s">
        <v>794</v>
      </c>
      <c r="C394" s="13" t="s">
        <v>795</v>
      </c>
      <c r="D394" t="s">
        <v>1162</v>
      </c>
      <c r="E394" t="str">
        <f>VLOOKUP(B394,'working space'!F:F,1,FALSE)</f>
        <v>NUT_TX-U5MN_SAM__Adt_SC_2_2</v>
      </c>
      <c r="F394" t="str">
        <f>VLOOKUP(B394,Temp!D:D,1,FALSE)</f>
        <v>NUT_TX-U5MN_SAM__Adt_SC_2_2</v>
      </c>
      <c r="G394" t="str">
        <f>VLOOKUP(B394,Temp!D:D,1,FALSE)</f>
        <v>NUT_TX-U5MN_SAM__Adt_SC_2_2</v>
      </c>
    </row>
    <row r="395" spans="1:7" ht="117" x14ac:dyDescent="0.25">
      <c r="A395">
        <v>394</v>
      </c>
      <c r="B395" s="13" t="s">
        <v>796</v>
      </c>
      <c r="C395" s="13" t="s">
        <v>797</v>
      </c>
      <c r="D395" t="s">
        <v>1162</v>
      </c>
      <c r="E395" t="str">
        <f>VLOOKUP(B395,'working space'!F:F,1,FALSE)</f>
        <v>NUT_TX-U5MN_SAM__Adt_SC_2_3</v>
      </c>
      <c r="F395" t="str">
        <f>VLOOKUP(B395,Temp!D:D,1,FALSE)</f>
        <v>NUT_TX-U5MN_SAM__Adt_SC_2_3</v>
      </c>
      <c r="G395" t="str">
        <f>VLOOKUP(B395,Temp!D:D,1,FALSE)</f>
        <v>NUT_TX-U5MN_SAM__Adt_SC_2_3</v>
      </c>
    </row>
    <row r="396" spans="1:7" ht="58.5" x14ac:dyDescent="0.25">
      <c r="A396">
        <v>395</v>
      </c>
      <c r="B396" s="13" t="s">
        <v>798</v>
      </c>
      <c r="C396" s="13" t="s">
        <v>799</v>
      </c>
      <c r="D396" t="s">
        <v>1162</v>
      </c>
      <c r="E396" t="str">
        <f>VLOOKUP(B396,'working space'!F:F,1,FALSE)</f>
        <v>NUT_TX-U5MN_SAM_Stab_SC_3_1</v>
      </c>
      <c r="F396" t="str">
        <f>VLOOKUP(B396,Temp!D:D,1,FALSE)</f>
        <v>NUT_TX-U5MN_SAM_Stab_SC_3_1</v>
      </c>
      <c r="G396" t="str">
        <f>VLOOKUP(B396,Temp!D:D,1,FALSE)</f>
        <v>NUT_TX-U5MN_SAM_Stab_SC_3_1</v>
      </c>
    </row>
    <row r="397" spans="1:7" ht="58.5" x14ac:dyDescent="0.25">
      <c r="A397">
        <v>396</v>
      </c>
      <c r="B397" s="13" t="s">
        <v>800</v>
      </c>
      <c r="C397" s="13" t="s">
        <v>801</v>
      </c>
      <c r="D397" t="s">
        <v>1162</v>
      </c>
      <c r="E397" t="str">
        <f>VLOOKUP(B397,'working space'!F:F,1,FALSE)</f>
        <v>NUT_TX-U5MN_SAM_Stab_SC_3_2</v>
      </c>
      <c r="F397" t="str">
        <f>VLOOKUP(B397,Temp!D:D,1,FALSE)</f>
        <v>NUT_TX-U5MN_SAM_Stab_SC_3_2</v>
      </c>
      <c r="G397" t="str">
        <f>VLOOKUP(B397,Temp!D:D,1,FALSE)</f>
        <v>NUT_TX-U5MN_SAM_Stab_SC_3_2</v>
      </c>
    </row>
    <row r="398" spans="1:7" ht="58.5" x14ac:dyDescent="0.25">
      <c r="A398">
        <v>397</v>
      </c>
      <c r="B398" s="13" t="s">
        <v>802</v>
      </c>
      <c r="C398" s="13" t="s">
        <v>803</v>
      </c>
      <c r="D398" t="s">
        <v>1162</v>
      </c>
      <c r="E398" t="str">
        <f>VLOOKUP(B398,'working space'!F:F,1,FALSE)</f>
        <v>NUT_TX-U5MN_SAM_Stab_SC_3_3</v>
      </c>
      <c r="F398" t="str">
        <f>VLOOKUP(B398,Temp!D:D,1,FALSE)</f>
        <v>NUT_TX-U5MN_SAM_Stab_SC_3_3</v>
      </c>
      <c r="G398" t="str">
        <f>VLOOKUP(B398,Temp!D:D,1,FALSE)</f>
        <v>NUT_TX-U5MN_SAM_Stab_SC_3_3</v>
      </c>
    </row>
    <row r="399" spans="1:7" ht="58.5" x14ac:dyDescent="0.25">
      <c r="A399">
        <v>398</v>
      </c>
      <c r="B399" s="13" t="s">
        <v>804</v>
      </c>
      <c r="C399" s="13" t="s">
        <v>805</v>
      </c>
      <c r="D399" t="s">
        <v>1162</v>
      </c>
      <c r="E399" t="str">
        <f>VLOOKUP(B399,'working space'!F:F,1,FALSE)</f>
        <v>NUT_TX-U5MN_SAM_Cur_SC_4_1</v>
      </c>
      <c r="F399" t="str">
        <f>VLOOKUP(B399,Temp!D:D,1,FALSE)</f>
        <v>NUT_TX-U5MN_SAM_Cur_SC_4_1</v>
      </c>
      <c r="G399" t="str">
        <f>VLOOKUP(B399,Temp!D:D,1,FALSE)</f>
        <v>NUT_TX-U5MN_SAM_Cur_SC_4_1</v>
      </c>
    </row>
    <row r="400" spans="1:7" ht="58.5" x14ac:dyDescent="0.25">
      <c r="A400">
        <v>399</v>
      </c>
      <c r="B400" s="13" t="s">
        <v>806</v>
      </c>
      <c r="C400" s="13" t="s">
        <v>807</v>
      </c>
      <c r="D400" t="s">
        <v>1162</v>
      </c>
      <c r="E400" t="str">
        <f>VLOOKUP(B400,'working space'!F:F,1,FALSE)</f>
        <v>NUT_TX-U5MN_SAM_Cur_SC_4_2</v>
      </c>
      <c r="F400" t="str">
        <f>VLOOKUP(B400,Temp!D:D,1,FALSE)</f>
        <v>NUT_TX-U5MN_SAM_Cur_SC_4_2</v>
      </c>
      <c r="G400" t="str">
        <f>VLOOKUP(B400,Temp!D:D,1,FALSE)</f>
        <v>NUT_TX-U5MN_SAM_Cur_SC_4_2</v>
      </c>
    </row>
    <row r="401" spans="1:7" ht="58.5" x14ac:dyDescent="0.25">
      <c r="A401">
        <v>400</v>
      </c>
      <c r="B401" s="13" t="s">
        <v>808</v>
      </c>
      <c r="C401" s="13" t="s">
        <v>809</v>
      </c>
      <c r="D401" t="s">
        <v>1162</v>
      </c>
      <c r="E401" t="str">
        <f>VLOOKUP(B401,'working space'!F:F,1,FALSE)</f>
        <v>NUT_TX-U5MN_SAM_Cur_SC_4_3</v>
      </c>
      <c r="F401" t="str">
        <f>VLOOKUP(B401,Temp!D:D,1,FALSE)</f>
        <v>NUT_TX-U5MN_SAM_Cur_SC_4_3</v>
      </c>
      <c r="G401" t="str">
        <f>VLOOKUP(B401,Temp!D:D,1,FALSE)</f>
        <v>NUT_TX-U5MN_SAM_Cur_SC_4_3</v>
      </c>
    </row>
    <row r="402" spans="1:7" ht="58.5" x14ac:dyDescent="0.25">
      <c r="A402">
        <v>401</v>
      </c>
      <c r="B402" s="13" t="s">
        <v>810</v>
      </c>
      <c r="C402" s="13" t="s">
        <v>811</v>
      </c>
      <c r="D402" t="s">
        <v>1162</v>
      </c>
      <c r="E402" t="str">
        <f>VLOOKUP(B402,'working space'!F:F,1,FALSE)</f>
        <v>NUT_TX-U5MN_SAM_died_SC_5_1</v>
      </c>
      <c r="F402" t="str">
        <f>VLOOKUP(B402,Temp!D:D,1,FALSE)</f>
        <v>NUT_TX-U5MN_SAM_died_SC_5_1</v>
      </c>
      <c r="G402" t="str">
        <f>VLOOKUP(B402,Temp!D:D,1,FALSE)</f>
        <v>NUT_TX-U5MN_SAM_died_SC_5_1</v>
      </c>
    </row>
    <row r="403" spans="1:7" ht="58.5" x14ac:dyDescent="0.25">
      <c r="A403">
        <v>402</v>
      </c>
      <c r="B403" s="13" t="s">
        <v>812</v>
      </c>
      <c r="C403" s="13" t="s">
        <v>813</v>
      </c>
      <c r="D403" t="s">
        <v>1162</v>
      </c>
      <c r="E403" t="str">
        <f>VLOOKUP(B403,'working space'!F:F,1,FALSE)</f>
        <v>NUT_TX-U5MN_SAM_died_SC_5_2</v>
      </c>
      <c r="F403" t="str">
        <f>VLOOKUP(B403,Temp!D:D,1,FALSE)</f>
        <v>NUT_TX-U5MN_SAM_died_SC_5_2</v>
      </c>
      <c r="G403" t="str">
        <f>VLOOKUP(B403,Temp!D:D,1,FALSE)</f>
        <v>NUT_TX-U5MN_SAM_died_SC_5_2</v>
      </c>
    </row>
    <row r="404" spans="1:7" ht="58.5" x14ac:dyDescent="0.25">
      <c r="A404">
        <v>403</v>
      </c>
      <c r="B404" s="13" t="s">
        <v>814</v>
      </c>
      <c r="C404" s="13" t="s">
        <v>815</v>
      </c>
      <c r="D404" t="s">
        <v>1162</v>
      </c>
      <c r="E404" t="str">
        <f>VLOOKUP(B404,'working space'!F:F,1,FALSE)</f>
        <v>NUT_TX-U5MN_SAM_died_SC_5_3</v>
      </c>
      <c r="F404" t="str">
        <f>VLOOKUP(B404,Temp!D:D,1,FALSE)</f>
        <v>NUT_TX-U5MN_SAM_died_SC_5_3</v>
      </c>
      <c r="G404" t="str">
        <f>VLOOKUP(B404,Temp!D:D,1,FALSE)</f>
        <v>NUT_TX-U5MN_SAM_died_SC_5_3</v>
      </c>
    </row>
    <row r="405" spans="1:7" ht="58.5" x14ac:dyDescent="0.25">
      <c r="A405">
        <v>404</v>
      </c>
      <c r="B405" s="13" t="s">
        <v>816</v>
      </c>
      <c r="C405" s="13" t="s">
        <v>817</v>
      </c>
      <c r="D405" t="s">
        <v>1162</v>
      </c>
      <c r="E405" t="str">
        <f>VLOOKUP(B405,'working space'!F:F,1,FALSE)</f>
        <v>NUT_TX-U5MN_SAM_TO_SC_6_1</v>
      </c>
      <c r="F405" t="str">
        <f>VLOOKUP(B405,Temp!D:D,1,FALSE)</f>
        <v>NUT_TX-U5MN_SAM_TO_SC_6_1</v>
      </c>
      <c r="G405" t="str">
        <f>VLOOKUP(B405,Temp!D:D,1,FALSE)</f>
        <v>NUT_TX-U5MN_SAM_TO_SC_6_1</v>
      </c>
    </row>
    <row r="406" spans="1:7" ht="58.5" x14ac:dyDescent="0.25">
      <c r="A406">
        <v>405</v>
      </c>
      <c r="B406" s="13" t="s">
        <v>818</v>
      </c>
      <c r="C406" s="13" t="s">
        <v>819</v>
      </c>
      <c r="D406" t="s">
        <v>1162</v>
      </c>
      <c r="E406" t="str">
        <f>VLOOKUP(B406,'working space'!F:F,1,FALSE)</f>
        <v>NUT_TX-U5MN_SAM_TO_SC_6_2</v>
      </c>
      <c r="F406" t="str">
        <f>VLOOKUP(B406,Temp!D:D,1,FALSE)</f>
        <v>NUT_TX-U5MN_SAM_TO_SC_6_2</v>
      </c>
      <c r="G406" t="str">
        <f>VLOOKUP(B406,Temp!D:D,1,FALSE)</f>
        <v>NUT_TX-U5MN_SAM_TO_SC_6_2</v>
      </c>
    </row>
    <row r="407" spans="1:7" ht="58.5" x14ac:dyDescent="0.25">
      <c r="A407">
        <v>406</v>
      </c>
      <c r="B407" s="13" t="s">
        <v>820</v>
      </c>
      <c r="C407" s="13" t="s">
        <v>821</v>
      </c>
      <c r="D407" t="s">
        <v>1162</v>
      </c>
      <c r="E407" t="str">
        <f>VLOOKUP(B407,'working space'!F:F,1,FALSE)</f>
        <v>NUT_TX-U5MN_SAM_TO_SC_6_3</v>
      </c>
      <c r="F407" t="str">
        <f>VLOOKUP(B407,Temp!D:D,1,FALSE)</f>
        <v>NUT_TX-U5MN_SAM_TO_SC_6_3</v>
      </c>
      <c r="G407" t="str">
        <f>VLOOKUP(B407,Temp!D:D,1,FALSE)</f>
        <v>NUT_TX-U5MN_SAM_TO_SC_6_3</v>
      </c>
    </row>
    <row r="408" spans="1:7" ht="58.5" x14ac:dyDescent="0.25">
      <c r="A408">
        <v>407</v>
      </c>
      <c r="B408" s="13" t="s">
        <v>822</v>
      </c>
      <c r="C408" s="13" t="s">
        <v>823</v>
      </c>
      <c r="D408" t="s">
        <v>1162</v>
      </c>
      <c r="E408" t="str">
        <f>VLOOKUP(B408,'working space'!F:F,1,FALSE)</f>
        <v>NUT_TX-U5MN_SAM_Def_SC_7_1</v>
      </c>
      <c r="F408" t="str">
        <f>VLOOKUP(B408,Temp!D:D,1,FALSE)</f>
        <v>NUT_TX-U5MN_SAM_Def_SC_7_1</v>
      </c>
      <c r="G408" t="str">
        <f>VLOOKUP(B408,Temp!D:D,1,FALSE)</f>
        <v>NUT_TX-U5MN_SAM_Def_SC_7_1</v>
      </c>
    </row>
    <row r="409" spans="1:7" ht="58.5" x14ac:dyDescent="0.25">
      <c r="A409">
        <v>408</v>
      </c>
      <c r="B409" s="13" t="s">
        <v>824</v>
      </c>
      <c r="C409" s="13" t="s">
        <v>825</v>
      </c>
      <c r="D409" t="s">
        <v>1162</v>
      </c>
      <c r="E409" t="str">
        <f>VLOOKUP(B409,'working space'!F:F,1,FALSE)</f>
        <v>NUT_TX-U5MN_SAM_Def_SC_7_2</v>
      </c>
      <c r="F409" t="str">
        <f>VLOOKUP(B409,Temp!D:D,1,FALSE)</f>
        <v>NUT_TX-U5MN_SAM_Def_SC_7_2</v>
      </c>
      <c r="G409" t="str">
        <f>VLOOKUP(B409,Temp!D:D,1,FALSE)</f>
        <v>NUT_TX-U5MN_SAM_Def_SC_7_2</v>
      </c>
    </row>
    <row r="410" spans="1:7" ht="58.5" x14ac:dyDescent="0.25">
      <c r="A410">
        <v>409</v>
      </c>
      <c r="B410" s="13" t="s">
        <v>826</v>
      </c>
      <c r="C410" s="13" t="s">
        <v>827</v>
      </c>
      <c r="D410" t="s">
        <v>1162</v>
      </c>
      <c r="E410" t="str">
        <f>VLOOKUP(B410,'working space'!F:F,1,FALSE)</f>
        <v>NUT_TX-U5MN_SAM_Def_SC_7_3</v>
      </c>
      <c r="F410" t="str">
        <f>VLOOKUP(B410,Temp!D:D,1,FALSE)</f>
        <v>NUT_TX-U5MN_SAM_Def_SC_7_3</v>
      </c>
      <c r="G410" t="str">
        <f>VLOOKUP(B410,Temp!D:D,1,FALSE)</f>
        <v>NUT_TX-U5MN_SAM_Def_SC_7_3</v>
      </c>
    </row>
    <row r="411" spans="1:7" ht="78" x14ac:dyDescent="0.25">
      <c r="A411">
        <v>410</v>
      </c>
      <c r="B411" s="13" t="s">
        <v>828</v>
      </c>
      <c r="C411" s="13" t="s">
        <v>829</v>
      </c>
      <c r="D411" t="s">
        <v>1162</v>
      </c>
      <c r="E411" t="str">
        <f>VLOOKUP(B411,'working space'!F:F,1,FALSE)</f>
        <v>NUT_TX-U5MN_SAM_NR_SC_8_1</v>
      </c>
      <c r="F411" t="str">
        <f>VLOOKUP(B411,Temp!D:D,1,FALSE)</f>
        <v>NUT_TX-U5MN_SAM_NR_SC_8_1</v>
      </c>
      <c r="G411" t="str">
        <f>VLOOKUP(B411,Temp!D:D,1,FALSE)</f>
        <v>NUT_TX-U5MN_SAM_NR_SC_8_1</v>
      </c>
    </row>
    <row r="412" spans="1:7" ht="78" x14ac:dyDescent="0.25">
      <c r="A412">
        <v>411</v>
      </c>
      <c r="B412" s="13" t="s">
        <v>830</v>
      </c>
      <c r="C412" s="13" t="s">
        <v>831</v>
      </c>
      <c r="D412" t="s">
        <v>1162</v>
      </c>
      <c r="E412" t="str">
        <f>VLOOKUP(B412,'working space'!F:F,1,FALSE)</f>
        <v>NUT_TX-U5MN_SAM_NR_SC_8_2</v>
      </c>
      <c r="F412" t="str">
        <f>VLOOKUP(B412,Temp!D:D,1,FALSE)</f>
        <v>NUT_TX-U5MN_SAM_NR_SC_8_2</v>
      </c>
      <c r="G412" t="str">
        <f>VLOOKUP(B412,Temp!D:D,1,FALSE)</f>
        <v>NUT_TX-U5MN_SAM_NR_SC_8_2</v>
      </c>
    </row>
    <row r="413" spans="1:7" ht="78" x14ac:dyDescent="0.25">
      <c r="A413">
        <v>412</v>
      </c>
      <c r="B413" s="13" t="s">
        <v>832</v>
      </c>
      <c r="C413" s="13" t="s">
        <v>833</v>
      </c>
      <c r="D413" t="s">
        <v>1162</v>
      </c>
      <c r="E413" t="str">
        <f>VLOOKUP(B413,'working space'!F:F,1,FALSE)</f>
        <v>NUT_TX-U5MN_SAM_NR_SC_8_3</v>
      </c>
      <c r="F413" t="str">
        <f>VLOOKUP(B413,Temp!D:D,1,FALSE)</f>
        <v>NUT_TX-U5MN_SAM_NR_SC_8_3</v>
      </c>
      <c r="G413" t="str">
        <f>VLOOKUP(B413,Temp!D:D,1,FALSE)</f>
        <v>NUT_TX-U5MN_SAM_NR_SC_8_3</v>
      </c>
    </row>
    <row r="414" spans="1:7" ht="117" x14ac:dyDescent="0.25">
      <c r="A414">
        <v>413</v>
      </c>
      <c r="B414" s="13" t="s">
        <v>834</v>
      </c>
      <c r="C414" s="13" t="s">
        <v>835</v>
      </c>
      <c r="D414" t="s">
        <v>1162</v>
      </c>
      <c r="E414" t="str">
        <f>VLOOKUP(B414,'working space'!F:F,1,FALSE)</f>
        <v>NUT_TX-U5MN_SAM_Ext_SC_9_1</v>
      </c>
      <c r="F414" t="str">
        <f>VLOOKUP(B414,Temp!D:D,1,FALSE)</f>
        <v>NUT_TX-U5MN_SAM_Ext_SC_9_1</v>
      </c>
      <c r="G414" t="str">
        <f>VLOOKUP(B414,Temp!D:D,1,FALSE)</f>
        <v>NUT_TX-U5MN_SAM_Ext_SC_9_1</v>
      </c>
    </row>
    <row r="415" spans="1:7" ht="117" x14ac:dyDescent="0.25">
      <c r="A415">
        <v>414</v>
      </c>
      <c r="B415" s="13" t="s">
        <v>836</v>
      </c>
      <c r="C415" s="13" t="s">
        <v>837</v>
      </c>
      <c r="D415" t="s">
        <v>1162</v>
      </c>
      <c r="E415" t="str">
        <f>VLOOKUP(B415,'working space'!F:F,1,FALSE)</f>
        <v>NUT_TX-U5MN_SAM_Ext_SC_9_2</v>
      </c>
      <c r="F415" t="str">
        <f>VLOOKUP(B415,Temp!D:D,1,FALSE)</f>
        <v>NUT_TX-U5MN_SAM_Ext_SC_9_2</v>
      </c>
      <c r="G415" t="str">
        <f>VLOOKUP(B415,Temp!D:D,1,FALSE)</f>
        <v>NUT_TX-U5MN_SAM_Ext_SC_9_2</v>
      </c>
    </row>
    <row r="416" spans="1:7" ht="117" x14ac:dyDescent="0.25">
      <c r="A416">
        <v>415</v>
      </c>
      <c r="B416" s="13" t="s">
        <v>838</v>
      </c>
      <c r="C416" s="13" t="s">
        <v>839</v>
      </c>
      <c r="D416" t="s">
        <v>1162</v>
      </c>
      <c r="E416" t="str">
        <f>VLOOKUP(B416,'working space'!F:F,1,FALSE)</f>
        <v>NUT_TX-U5MN_SAM_Ext_SC_9_3</v>
      </c>
      <c r="F416" t="str">
        <f>VLOOKUP(B416,Temp!D:D,1,FALSE)</f>
        <v>NUT_TX-U5MN_SAM_Ext_SC_9_3</v>
      </c>
      <c r="G416" t="str">
        <f>VLOOKUP(B416,Temp!D:D,1,FALSE)</f>
        <v>NUT_TX-U5MN_SAM_Ext_SC_9_3</v>
      </c>
    </row>
    <row r="417" spans="1:7" ht="58.5" x14ac:dyDescent="0.25">
      <c r="A417">
        <v>416</v>
      </c>
      <c r="B417" s="13" t="s">
        <v>840</v>
      </c>
      <c r="C417" s="13" t="s">
        <v>841</v>
      </c>
      <c r="D417" t="s">
        <v>1162</v>
      </c>
      <c r="E417" t="str">
        <f>VLOOKUP(B417,'working space'!F:F,1,FALSE)</f>
        <v>NUT_TX-U5MN_SAM_OTP</v>
      </c>
      <c r="F417" t="str">
        <f>VLOOKUP(B417,Temp!D:D,1,FALSE)</f>
        <v>NUT_TX-U5MN_SAM_OTP</v>
      </c>
      <c r="G417" t="str">
        <f>VLOOKUP(B417,Temp!D:D,1,FALSE)</f>
        <v>NUT_TX-U5MN_SAM_OTP</v>
      </c>
    </row>
    <row r="418" spans="1:7" ht="78" x14ac:dyDescent="0.25">
      <c r="A418">
        <v>417</v>
      </c>
      <c r="B418" s="13" t="s">
        <v>842</v>
      </c>
      <c r="C418" s="13" t="s">
        <v>843</v>
      </c>
      <c r="D418" t="s">
        <v>1162</v>
      </c>
      <c r="E418" t="str">
        <f>VLOOKUP(B418,'working space'!F:F,1,FALSE)</f>
        <v>NUT_TX-U5MN_SAM_Adt_OTP</v>
      </c>
      <c r="F418" t="str">
        <f>VLOOKUP(B418,Temp!D:D,1,FALSE)</f>
        <v>NUT_TX-U5MN_SAM_Adt_OTP</v>
      </c>
      <c r="G418" t="str">
        <f>VLOOKUP(B418,Temp!D:D,1,FALSE)</f>
        <v>NUT_TX-U5MN_SAM_Adt_OTP</v>
      </c>
    </row>
    <row r="419" spans="1:7" ht="39" x14ac:dyDescent="0.25">
      <c r="A419">
        <v>418</v>
      </c>
      <c r="B419" s="13" t="s">
        <v>844</v>
      </c>
      <c r="C419" s="13" t="s">
        <v>845</v>
      </c>
      <c r="D419" t="s">
        <v>1162</v>
      </c>
      <c r="E419" t="str">
        <f>VLOOKUP(B419,'working space'!F:F,1,FALSE)</f>
        <v>NUT_TX-U5MN_SAM_Cur_OTP_1</v>
      </c>
      <c r="F419" t="str">
        <f>VLOOKUP(B419,Temp!D:D,1,FALSE)</f>
        <v>NUT_TX-U5MN_SAM_Cur_OTP_1</v>
      </c>
      <c r="G419" t="str">
        <f>VLOOKUP(B419,Temp!D:D,1,FALSE)</f>
        <v>NUT_TX-U5MN_SAM_Cur_OTP_1</v>
      </c>
    </row>
    <row r="420" spans="1:7" ht="39" x14ac:dyDescent="0.25">
      <c r="A420">
        <v>419</v>
      </c>
      <c r="B420" s="13" t="s">
        <v>846</v>
      </c>
      <c r="C420" s="13" t="s">
        <v>847</v>
      </c>
      <c r="D420" t="s">
        <v>1162</v>
      </c>
      <c r="E420" t="str">
        <f>VLOOKUP(B420,'working space'!F:F,1,FALSE)</f>
        <v>NUT_TX-U5MN_SAM_died_OTP_2</v>
      </c>
      <c r="F420" t="str">
        <f>VLOOKUP(B420,Temp!D:D,1,FALSE)</f>
        <v>NUT_TX-U5MN_SAM_died_OTP_2</v>
      </c>
      <c r="G420" t="str">
        <f>VLOOKUP(B420,Temp!D:D,1,FALSE)</f>
        <v>NUT_TX-U5MN_SAM_died_OTP_2</v>
      </c>
    </row>
    <row r="421" spans="1:7" ht="58.5" x14ac:dyDescent="0.25">
      <c r="A421">
        <v>420</v>
      </c>
      <c r="B421" s="13" t="s">
        <v>848</v>
      </c>
      <c r="C421" s="13" t="s">
        <v>849</v>
      </c>
      <c r="D421" t="s">
        <v>1162</v>
      </c>
      <c r="E421" t="str">
        <f>VLOOKUP(B421,'working space'!F:F,1,FALSE)</f>
        <v>NUT_TX-U5MN_SAM_TO_OTP_3</v>
      </c>
      <c r="F421" t="str">
        <f>VLOOKUP(B421,Temp!D:D,1,FALSE)</f>
        <v>NUT_TX-U5MN_SAM_TO_OTP_3</v>
      </c>
      <c r="G421" t="str">
        <f>VLOOKUP(B421,Temp!D:D,1,FALSE)</f>
        <v>NUT_TX-U5MN_SAM_TO_OTP_3</v>
      </c>
    </row>
    <row r="422" spans="1:7" ht="58.5" x14ac:dyDescent="0.25">
      <c r="A422">
        <v>421</v>
      </c>
      <c r="B422" s="13" t="s">
        <v>850</v>
      </c>
      <c r="C422" s="13" t="s">
        <v>851</v>
      </c>
      <c r="D422" t="s">
        <v>1162</v>
      </c>
      <c r="E422" t="str">
        <f>VLOOKUP(B422,'working space'!F:F,1,FALSE)</f>
        <v>NUT_TX-U5MN_SAM_Def_OTP_4</v>
      </c>
      <c r="F422" t="str">
        <f>VLOOKUP(B422,Temp!D:D,1,FALSE)</f>
        <v>NUT_TX-U5MN_SAM_Def_OTP_4</v>
      </c>
      <c r="G422" t="str">
        <f>VLOOKUP(B422,Temp!D:D,1,FALSE)</f>
        <v>NUT_TX-U5MN_SAM_Def_OTP_4</v>
      </c>
    </row>
    <row r="423" spans="1:7" ht="58.5" x14ac:dyDescent="0.25">
      <c r="A423">
        <v>422</v>
      </c>
      <c r="B423" s="13" t="s">
        <v>852</v>
      </c>
      <c r="C423" s="13" t="s">
        <v>853</v>
      </c>
      <c r="D423" t="s">
        <v>1162</v>
      </c>
      <c r="E423" t="str">
        <f>VLOOKUP(B423,'working space'!F:F,1,FALSE)</f>
        <v>NUT_TX-U5MN_SAM_NR_OTP_5</v>
      </c>
      <c r="F423" t="str">
        <f>VLOOKUP(B423,Temp!D:D,1,FALSE)</f>
        <v>NUT_TX-U5MN_SAM_NR_OTP_5</v>
      </c>
      <c r="G423" t="str">
        <f>VLOOKUP(B423,Temp!D:D,1,FALSE)</f>
        <v>NUT_TX-U5MN_SAM_NR_OTP_5</v>
      </c>
    </row>
    <row r="424" spans="1:7" ht="97.5" x14ac:dyDescent="0.25">
      <c r="A424">
        <v>423</v>
      </c>
      <c r="B424" s="13" t="s">
        <v>854</v>
      </c>
      <c r="C424" s="13" t="s">
        <v>855</v>
      </c>
      <c r="D424" t="s">
        <v>1162</v>
      </c>
      <c r="E424" t="str">
        <f>VLOOKUP(B424,'working space'!F:F,1,FALSE)</f>
        <v>NUT_TX-U5MN_SAM_Ext_OTP_E</v>
      </c>
      <c r="F424" t="str">
        <f>VLOOKUP(B424,Temp!D:D,1,FALSE)</f>
        <v>NUT_TX-U5MN_SAM_Ext_OTP_E</v>
      </c>
      <c r="G424" t="str">
        <f>VLOOKUP(B424,Temp!D:D,1,FALSE)</f>
        <v>NUT_TX-U5MN_SAM_Ext_OTP_E</v>
      </c>
    </row>
    <row r="425" spans="1:7" ht="58.5" x14ac:dyDescent="0.25">
      <c r="A425">
        <v>424</v>
      </c>
      <c r="B425" s="13" t="s">
        <v>856</v>
      </c>
      <c r="C425" s="13" t="s">
        <v>857</v>
      </c>
      <c r="D425" t="s">
        <v>1162</v>
      </c>
      <c r="E425" t="str">
        <f>VLOOKUP(B425,'working space'!F:F,1,FALSE)</f>
        <v>NUT_TX-U5MN__MAM_Beging_OTP</v>
      </c>
      <c r="F425" t="str">
        <f>VLOOKUP(B425,Temp!D:D,1,FALSE)</f>
        <v>NUT_TX-U5MN__MAM_Beging_OTP</v>
      </c>
      <c r="G425" t="str">
        <f>VLOOKUP(B425,Temp!D:D,1,FALSE)</f>
        <v>NUT_TX-U5MN__MAM_Beging_OTP</v>
      </c>
    </row>
    <row r="426" spans="1:7" ht="97.5" x14ac:dyDescent="0.25">
      <c r="A426">
        <v>425</v>
      </c>
      <c r="B426" s="13" t="s">
        <v>858</v>
      </c>
      <c r="C426" s="13" t="s">
        <v>859</v>
      </c>
      <c r="D426" t="s">
        <v>1162</v>
      </c>
      <c r="E426" t="str">
        <f>VLOOKUP(B426,'working space'!F:F,1,FALSE)</f>
        <v>NUT_TX-U5MN_MAM_Adt_TSFP</v>
      </c>
      <c r="F426" t="str">
        <f>VLOOKUP(B426,Temp!D:D,1,FALSE)</f>
        <v>NUT_TX-U5MN_MAM_Adt_TSFP</v>
      </c>
      <c r="G426" t="str">
        <f>VLOOKUP(B426,Temp!D:D,1,FALSE)</f>
        <v>NUT_TX-U5MN_MAM_Adt_TSFP</v>
      </c>
    </row>
    <row r="427" spans="1:7" ht="97.5" x14ac:dyDescent="0.25">
      <c r="A427">
        <v>426</v>
      </c>
      <c r="B427" s="13" t="s">
        <v>860</v>
      </c>
      <c r="C427" s="13" t="s">
        <v>861</v>
      </c>
      <c r="D427" t="s">
        <v>1162</v>
      </c>
      <c r="E427" t="e">
        <f>VLOOKUP(B427,'working space'!F:F,1,FALSE)</f>
        <v>#N/A</v>
      </c>
      <c r="F427" t="e">
        <f>VLOOKUP(B427,Temp!D:D,1,FALSE)</f>
        <v>#N/A</v>
      </c>
      <c r="G427" t="e">
        <f>VLOOKUP(B427,Temp!D:D,1,FALSE)</f>
        <v>#N/A</v>
      </c>
    </row>
    <row r="428" spans="1:7" ht="39" x14ac:dyDescent="0.25">
      <c r="A428">
        <v>427</v>
      </c>
      <c r="B428" s="13" t="s">
        <v>862</v>
      </c>
      <c r="C428" s="13" t="s">
        <v>863</v>
      </c>
      <c r="D428" t="s">
        <v>1162</v>
      </c>
      <c r="E428" t="str">
        <f>VLOOKUP(B428,'working space'!F:F,1,FALSE)</f>
        <v>NUT_TX-U5MN_SAM_Cur_TSFP_1</v>
      </c>
      <c r="F428" t="str">
        <f>VLOOKUP(B428,Temp!D:D,1,FALSE)</f>
        <v>NUT_TX-U5MN_SAM_Cur_TSFP_1</v>
      </c>
      <c r="G428" t="str">
        <f>VLOOKUP(B428,Temp!D:D,1,FALSE)</f>
        <v>NUT_TX-U5MN_SAM_Cur_TSFP_1</v>
      </c>
    </row>
    <row r="429" spans="1:7" ht="39" x14ac:dyDescent="0.25">
      <c r="A429">
        <v>428</v>
      </c>
      <c r="B429" s="13" t="s">
        <v>864</v>
      </c>
      <c r="C429" s="13" t="s">
        <v>865</v>
      </c>
      <c r="D429" t="s">
        <v>1162</v>
      </c>
      <c r="E429" t="str">
        <f>VLOOKUP(B429,'working space'!F:F,1,FALSE)</f>
        <v>NUT_TX-U5MN_SAM_died_TSFP_2</v>
      </c>
      <c r="F429" t="str">
        <f>VLOOKUP(B429,Temp!D:D,1,FALSE)</f>
        <v>NUT_TX-U5MN_SAM_died_TSFP_2</v>
      </c>
      <c r="G429" t="str">
        <f>VLOOKUP(B429,Temp!D:D,1,FALSE)</f>
        <v>NUT_TX-U5MN_SAM_died_TSFP_2</v>
      </c>
    </row>
    <row r="430" spans="1:7" ht="58.5" x14ac:dyDescent="0.25">
      <c r="A430">
        <v>429</v>
      </c>
      <c r="B430" s="13" t="s">
        <v>866</v>
      </c>
      <c r="C430" s="13" t="s">
        <v>867</v>
      </c>
      <c r="D430" t="s">
        <v>1162</v>
      </c>
      <c r="E430" t="str">
        <f>VLOOKUP(B430,'working space'!F:F,1,FALSE)</f>
        <v>NUT_TX-U5MN_SAM_TO_TSFP_3</v>
      </c>
      <c r="F430" t="str">
        <f>VLOOKUP(B430,Temp!D:D,1,FALSE)</f>
        <v>NUT_TX-U5MN_SAM_TO_TSFP_3</v>
      </c>
      <c r="G430" t="str">
        <f>VLOOKUP(B430,Temp!D:D,1,FALSE)</f>
        <v>NUT_TX-U5MN_SAM_TO_TSFP_3</v>
      </c>
    </row>
    <row r="431" spans="1:7" ht="58.5" x14ac:dyDescent="0.25">
      <c r="A431">
        <v>430</v>
      </c>
      <c r="B431" s="13" t="s">
        <v>868</v>
      </c>
      <c r="C431" s="13" t="s">
        <v>869</v>
      </c>
      <c r="D431" t="s">
        <v>1162</v>
      </c>
      <c r="E431" t="str">
        <f>VLOOKUP(B431,'working space'!F:F,1,FALSE)</f>
        <v>NUT_TX-U5MN_SAM_Def_TSFP_4</v>
      </c>
      <c r="F431" t="str">
        <f>VLOOKUP(B431,Temp!D:D,1,FALSE)</f>
        <v>NUT_TX-U5MN_SAM_Def_TSFP_4</v>
      </c>
      <c r="G431" t="str">
        <f>VLOOKUP(B431,Temp!D:D,1,FALSE)</f>
        <v>NUT_TX-U5MN_SAM_Def_TSFP_4</v>
      </c>
    </row>
    <row r="432" spans="1:7" ht="58.5" x14ac:dyDescent="0.25">
      <c r="A432">
        <v>431</v>
      </c>
      <c r="B432" s="13" t="s">
        <v>870</v>
      </c>
      <c r="C432" s="13" t="s">
        <v>871</v>
      </c>
      <c r="D432" t="s">
        <v>1162</v>
      </c>
      <c r="E432" t="str">
        <f>VLOOKUP(B432,'working space'!F:F,1,FALSE)</f>
        <v>NUT_TX-U5MN_SAM_NR_TSFP_5</v>
      </c>
      <c r="F432" t="str">
        <f>VLOOKUP(B432,Temp!D:D,1,FALSE)</f>
        <v>NUT_TX-U5MN_SAM_NR_TSFP_5</v>
      </c>
      <c r="G432" t="str">
        <f>VLOOKUP(B432,Temp!D:D,1,FALSE)</f>
        <v>NUT_TX-U5MN_SAM_NR_TSFP_5</v>
      </c>
    </row>
    <row r="433" spans="1:7" ht="78" x14ac:dyDescent="0.25">
      <c r="A433">
        <v>432</v>
      </c>
      <c r="B433" s="13" t="s">
        <v>872</v>
      </c>
      <c r="C433" s="13" t="s">
        <v>873</v>
      </c>
      <c r="D433" t="s">
        <v>1162</v>
      </c>
      <c r="E433" t="str">
        <f>VLOOKUP(B433,'working space'!F:F,1,FALSE)</f>
        <v>NUT_TX-U5MN__SAM_Ext_TSFP_E</v>
      </c>
      <c r="F433" t="str">
        <f>VLOOKUP(B433,Temp!D:D,1,FALSE)</f>
        <v>NUT_TX-U5MN__SAM_Ext_TSFP_E</v>
      </c>
      <c r="G433" t="str">
        <f>VLOOKUP(B433,Temp!D:D,1,FALSE)</f>
        <v>NUT_TX-U5MN__SAM_Ext_TSFP_E</v>
      </c>
    </row>
    <row r="434" spans="1:7" ht="58.5" x14ac:dyDescent="0.25">
      <c r="A434">
        <v>433</v>
      </c>
      <c r="B434" s="13" t="s">
        <v>874</v>
      </c>
      <c r="C434" s="13" t="s">
        <v>875</v>
      </c>
      <c r="D434" t="s">
        <v>1162</v>
      </c>
      <c r="E434" t="str">
        <f>VLOOKUP(B434,'working space'!F:F,1,FALSE)</f>
        <v>NUT_TX-U5MN_MAM_Beging_OTP</v>
      </c>
      <c r="F434" t="str">
        <f>VLOOKUP(B434,Temp!D:D,1,FALSE)</f>
        <v>NUT_TX-U5MN_MAM_Beging_OTP</v>
      </c>
      <c r="G434" t="str">
        <f>VLOOKUP(B434,Temp!D:D,1,FALSE)</f>
        <v>NUT_TX-U5MN_MAM_Beging_OTP</v>
      </c>
    </row>
    <row r="435" spans="1:7" ht="78" x14ac:dyDescent="0.25">
      <c r="A435">
        <v>434</v>
      </c>
      <c r="B435" s="13" t="s">
        <v>876</v>
      </c>
      <c r="C435" s="13" t="s">
        <v>877</v>
      </c>
      <c r="D435" t="s">
        <v>1162</v>
      </c>
      <c r="E435" t="str">
        <f>VLOOKUP(B435,'working space'!F:F,1,FALSE)</f>
        <v>NUT_TX-U5MN_MAM_Adt_OTP</v>
      </c>
      <c r="F435" t="str">
        <f>VLOOKUP(B435,Temp!D:D,1,FALSE)</f>
        <v>NUT_TX-U5MN_MAM_Adt_OTP</v>
      </c>
      <c r="G435" t="str">
        <f>VLOOKUP(B435,Temp!D:D,1,FALSE)</f>
        <v>NUT_TX-U5MN_MAM_Adt_OTP</v>
      </c>
    </row>
    <row r="436" spans="1:7" ht="39" x14ac:dyDescent="0.25">
      <c r="A436">
        <v>435</v>
      </c>
      <c r="B436" s="13" t="s">
        <v>878</v>
      </c>
      <c r="C436" s="13" t="s">
        <v>879</v>
      </c>
      <c r="D436" t="s">
        <v>1162</v>
      </c>
      <c r="E436" t="str">
        <f>VLOOKUP(B436,'working space'!F:F,1,FALSE)</f>
        <v>NUT_TX-U5MN_Cur_TSFP_1</v>
      </c>
      <c r="F436" t="str">
        <f>VLOOKUP(B436,Temp!D:D,1,FALSE)</f>
        <v>NUT_TX-U5MN_Cur_TSFP_1</v>
      </c>
      <c r="G436" t="str">
        <f>VLOOKUP(B436,Temp!D:D,1,FALSE)</f>
        <v>NUT_TX-U5MN_Cur_TSFP_1</v>
      </c>
    </row>
    <row r="437" spans="1:7" ht="39" x14ac:dyDescent="0.25">
      <c r="A437">
        <v>436</v>
      </c>
      <c r="B437" s="13" t="s">
        <v>880</v>
      </c>
      <c r="C437" s="13" t="s">
        <v>881</v>
      </c>
      <c r="D437" t="s">
        <v>1162</v>
      </c>
      <c r="E437" t="str">
        <f>VLOOKUP(B437,'working space'!F:F,1,FALSE)</f>
        <v>NUT_TX-U5MN_died_TSFP_2</v>
      </c>
      <c r="F437" t="str">
        <f>VLOOKUP(B437,Temp!D:D,1,FALSE)</f>
        <v>NUT_TX-U5MN_died_TSFP_2</v>
      </c>
      <c r="G437" t="str">
        <f>VLOOKUP(B437,Temp!D:D,1,FALSE)</f>
        <v>NUT_TX-U5MN_died_TSFP_2</v>
      </c>
    </row>
    <row r="438" spans="1:7" ht="39" x14ac:dyDescent="0.25">
      <c r="A438">
        <v>437</v>
      </c>
      <c r="B438" s="13" t="s">
        <v>882</v>
      </c>
      <c r="C438" s="13" t="s">
        <v>883</v>
      </c>
      <c r="D438" t="s">
        <v>1162</v>
      </c>
      <c r="E438" t="str">
        <f>VLOOKUP(B438,'working space'!F:F,1,FALSE)</f>
        <v>NUT_TX-U5MN_TO_TSFP_3</v>
      </c>
      <c r="F438" t="str">
        <f>VLOOKUP(B438,Temp!D:D,1,FALSE)</f>
        <v>NUT_TX-U5MN_TO_TSFP_3</v>
      </c>
      <c r="G438" t="str">
        <f>VLOOKUP(B438,Temp!D:D,1,FALSE)</f>
        <v>NUT_TX-U5MN_TO_TSFP_3</v>
      </c>
    </row>
    <row r="439" spans="1:7" ht="58.5" x14ac:dyDescent="0.25">
      <c r="A439">
        <v>438</v>
      </c>
      <c r="B439" s="13" t="s">
        <v>884</v>
      </c>
      <c r="C439" s="13" t="s">
        <v>885</v>
      </c>
      <c r="D439" t="s">
        <v>1162</v>
      </c>
      <c r="E439" t="str">
        <f>VLOOKUP(B439,'working space'!F:F,1,FALSE)</f>
        <v>NUT_TX-U5MN__Def_TSFP_4</v>
      </c>
      <c r="F439" t="str">
        <f>VLOOKUP(B439,Temp!D:D,1,FALSE)</f>
        <v>NUT_TX-U5MN__Def_TSFP_4</v>
      </c>
      <c r="G439" t="str">
        <f>VLOOKUP(B439,Temp!D:D,1,FALSE)</f>
        <v>NUT_TX-U5MN__Def_TSFP_4</v>
      </c>
    </row>
    <row r="440" spans="1:7" ht="58.5" x14ac:dyDescent="0.25">
      <c r="A440">
        <v>439</v>
      </c>
      <c r="B440" s="13" t="s">
        <v>886</v>
      </c>
      <c r="C440" s="13" t="s">
        <v>887</v>
      </c>
      <c r="D440" t="s">
        <v>1162</v>
      </c>
      <c r="E440" t="str">
        <f>VLOOKUP(B440,'working space'!F:F,1,FALSE)</f>
        <v>NUT_TX-U5MN_MAM__NR_TSFP_5</v>
      </c>
      <c r="F440" t="str">
        <f>VLOOKUP(B440,Temp!D:D,1,FALSE)</f>
        <v>NUT_TX-U5MN_MAM__NR_TSFP_5</v>
      </c>
      <c r="G440" t="str">
        <f>VLOOKUP(B440,Temp!D:D,1,FALSE)</f>
        <v>NUT_TX-U5MN_MAM__NR_TSFP_5</v>
      </c>
    </row>
    <row r="441" spans="1:7" ht="78" x14ac:dyDescent="0.25">
      <c r="A441">
        <v>440</v>
      </c>
      <c r="B441" s="13" t="s">
        <v>888</v>
      </c>
      <c r="C441" s="13" t="s">
        <v>889</v>
      </c>
      <c r="D441" t="s">
        <v>1162</v>
      </c>
      <c r="E441" t="str">
        <f>VLOOKUP(B441,'working space'!F:F,1,FALSE)</f>
        <v>NUT_TX-U5MN_MAM-Ext_TSFP_E</v>
      </c>
      <c r="F441" t="str">
        <f>VLOOKUP(B441,Temp!D:D,1,FALSE)</f>
        <v>NUT_TX-U5MN_MAM-Ext_TSFP_E</v>
      </c>
      <c r="G441" t="str">
        <f>VLOOKUP(B441,Temp!D:D,1,FALSE)</f>
        <v>NUT_TX-U5MN_MAM-Ext_TSFP_E</v>
      </c>
    </row>
    <row r="442" spans="1:7" ht="39" x14ac:dyDescent="0.25">
      <c r="A442">
        <v>441</v>
      </c>
      <c r="B442" s="13" t="s">
        <v>890</v>
      </c>
      <c r="C442" s="13" t="s">
        <v>891</v>
      </c>
      <c r="D442" t="s">
        <v>1162</v>
      </c>
      <c r="E442" t="e">
        <f>VLOOKUP(B442,'working space'!F:F,1,FALSE)</f>
        <v>#N/A</v>
      </c>
      <c r="F442" t="e">
        <f>VLOOKUP(B442,Temp!D:D,1,FALSE)</f>
        <v>#N/A</v>
      </c>
      <c r="G442" t="e">
        <f>VLOOKUP(B442,Temp!D:D,1,FALSE)</f>
        <v>#N/A</v>
      </c>
    </row>
    <row r="443" spans="1:7" ht="58.5" x14ac:dyDescent="0.25">
      <c r="A443">
        <v>442</v>
      </c>
      <c r="B443" s="13" t="s">
        <v>892</v>
      </c>
      <c r="C443" s="13" t="s">
        <v>893</v>
      </c>
      <c r="D443" t="s">
        <v>1162</v>
      </c>
      <c r="E443" t="str">
        <f>VLOOKUP(B443,'working space'!F:F,1,FALSE)</f>
        <v>NUT_TX-U5MN_SAM_us_OTP_8_</v>
      </c>
      <c r="F443" t="e">
        <f>VLOOKUP(B443,Temp!D:D,1,FALSE)</f>
        <v>#N/A</v>
      </c>
      <c r="G443" t="e">
        <f>VLOOKUP(B443,Temp!D:D,1,FALSE)</f>
        <v>#N/A</v>
      </c>
    </row>
    <row r="444" spans="1:7" ht="58.5" x14ac:dyDescent="0.25">
      <c r="A444">
        <v>443</v>
      </c>
      <c r="B444" s="13" t="s">
        <v>894</v>
      </c>
      <c r="C444" s="13" t="s">
        <v>895</v>
      </c>
      <c r="D444" t="s">
        <v>1162</v>
      </c>
      <c r="E444" t="str">
        <f>VLOOKUP(B444,'working space'!F:F,1,FALSE)</f>
        <v>NUT_TX-U5MN_SAM_US_TSFP_8_</v>
      </c>
      <c r="F444" t="e">
        <f>VLOOKUP(B444,Temp!D:D,1,FALSE)</f>
        <v>#N/A</v>
      </c>
      <c r="G444" t="e">
        <f>VLOOKUP(B444,Temp!D:D,1,FALSE)</f>
        <v>#N/A</v>
      </c>
    </row>
    <row r="445" spans="1:7" ht="97.5" x14ac:dyDescent="0.25">
      <c r="A445">
        <v>444</v>
      </c>
      <c r="B445" s="13" t="s">
        <v>896</v>
      </c>
      <c r="C445" s="13" t="s">
        <v>897</v>
      </c>
      <c r="D445" t="s">
        <v>1166</v>
      </c>
      <c r="E445" t="e">
        <f>VLOOKUP(B445,'working space'!F:F,1,FALSE)</f>
        <v>#N/A</v>
      </c>
    </row>
    <row r="446" spans="1:7" ht="97.5" x14ac:dyDescent="0.25">
      <c r="A446">
        <v>445</v>
      </c>
      <c r="B446" s="13" t="s">
        <v>898</v>
      </c>
      <c r="C446" s="13" t="s">
        <v>899</v>
      </c>
      <c r="D446" t="s">
        <v>1166</v>
      </c>
      <c r="E446" t="e">
        <f>VLOOKUP(B446,'working space'!F:F,1,FALSE)</f>
        <v>#N/A</v>
      </c>
    </row>
    <row r="447" spans="1:7" ht="97.5" x14ac:dyDescent="0.25">
      <c r="A447">
        <v>446</v>
      </c>
      <c r="B447" s="13" t="s">
        <v>900</v>
      </c>
      <c r="C447" s="13" t="s">
        <v>901</v>
      </c>
      <c r="D447" t="s">
        <v>1166</v>
      </c>
      <c r="E447" t="e">
        <f>VLOOKUP(B447,'working space'!F:F,1,FALSE)</f>
        <v>#N/A</v>
      </c>
    </row>
    <row r="448" spans="1:7" ht="97.5" x14ac:dyDescent="0.25">
      <c r="A448">
        <v>447</v>
      </c>
      <c r="B448" s="13" t="s">
        <v>902</v>
      </c>
      <c r="C448" s="13" t="s">
        <v>903</v>
      </c>
      <c r="D448" t="s">
        <v>1166</v>
      </c>
      <c r="E448" t="e">
        <f>VLOOKUP(B448,'working space'!F:F,1,FALSE)</f>
        <v>#N/A</v>
      </c>
    </row>
    <row r="449" spans="1:5" ht="97.5" x14ac:dyDescent="0.25">
      <c r="A449">
        <v>448</v>
      </c>
      <c r="B449" s="13" t="s">
        <v>904</v>
      </c>
      <c r="C449" s="13" t="s">
        <v>905</v>
      </c>
      <c r="D449" t="s">
        <v>1166</v>
      </c>
      <c r="E449" t="e">
        <f>VLOOKUP(B449,'working space'!F:F,1,FALSE)</f>
        <v>#N/A</v>
      </c>
    </row>
    <row r="450" spans="1:5" ht="97.5" x14ac:dyDescent="0.25">
      <c r="A450">
        <v>449</v>
      </c>
      <c r="B450" s="13" t="s">
        <v>906</v>
      </c>
      <c r="C450" s="13" t="s">
        <v>907</v>
      </c>
      <c r="D450" t="s">
        <v>1166</v>
      </c>
      <c r="E450" t="e">
        <f>VLOOKUP(B450,'working space'!F:F,1,FALSE)</f>
        <v>#N/A</v>
      </c>
    </row>
    <row r="451" spans="1:5" ht="97.5" x14ac:dyDescent="0.25">
      <c r="A451">
        <v>450</v>
      </c>
      <c r="B451" s="13" t="s">
        <v>908</v>
      </c>
      <c r="C451" s="13" t="s">
        <v>909</v>
      </c>
      <c r="D451" t="s">
        <v>1166</v>
      </c>
      <c r="E451" t="e">
        <f>VLOOKUP(B451,'working space'!F:F,1,FALSE)</f>
        <v>#N/A</v>
      </c>
    </row>
    <row r="452" spans="1:5" ht="97.5" x14ac:dyDescent="0.25">
      <c r="A452">
        <v>451</v>
      </c>
      <c r="B452" s="13" t="s">
        <v>910</v>
      </c>
      <c r="C452" s="13" t="s">
        <v>911</v>
      </c>
      <c r="D452" t="s">
        <v>1166</v>
      </c>
      <c r="E452" t="e">
        <f>VLOOKUP(B452,'working space'!F:F,1,FALSE)</f>
        <v>#N/A</v>
      </c>
    </row>
    <row r="453" spans="1:5" ht="97.5" x14ac:dyDescent="0.25">
      <c r="A453">
        <v>452</v>
      </c>
      <c r="B453" s="13" t="s">
        <v>912</v>
      </c>
      <c r="C453" s="13" t="s">
        <v>913</v>
      </c>
      <c r="D453" t="s">
        <v>1166</v>
      </c>
      <c r="E453" t="e">
        <f>VLOOKUP(B453,'working space'!F:F,1,FALSE)</f>
        <v>#N/A</v>
      </c>
    </row>
    <row r="454" spans="1:5" ht="97.5" x14ac:dyDescent="0.25">
      <c r="A454">
        <v>453</v>
      </c>
      <c r="B454" s="13" t="s">
        <v>914</v>
      </c>
      <c r="C454" s="13" t="s">
        <v>915</v>
      </c>
      <c r="D454" t="s">
        <v>1166</v>
      </c>
      <c r="E454" t="e">
        <f>VLOOKUP(B454,'working space'!F:F,1,FALSE)</f>
        <v>#N/A</v>
      </c>
    </row>
    <row r="455" spans="1:5" ht="97.5" x14ac:dyDescent="0.25">
      <c r="A455">
        <v>454</v>
      </c>
      <c r="B455" s="13" t="s">
        <v>916</v>
      </c>
      <c r="C455" s="13" t="s">
        <v>917</v>
      </c>
      <c r="D455" t="s">
        <v>1166</v>
      </c>
      <c r="E455" t="e">
        <f>VLOOKUP(B455,'working space'!F:F,1,FALSE)</f>
        <v>#N/A</v>
      </c>
    </row>
    <row r="456" spans="1:5" ht="97.5" x14ac:dyDescent="0.25">
      <c r="A456">
        <v>455</v>
      </c>
      <c r="B456" s="13" t="s">
        <v>918</v>
      </c>
      <c r="C456" s="13" t="s">
        <v>919</v>
      </c>
      <c r="D456" t="s">
        <v>1166</v>
      </c>
      <c r="E456" t="e">
        <f>VLOOKUP(B456,'working space'!F:F,1,FALSE)</f>
        <v>#N/A</v>
      </c>
    </row>
    <row r="457" spans="1:5" ht="97.5" x14ac:dyDescent="0.25">
      <c r="A457">
        <v>456</v>
      </c>
      <c r="B457" s="13" t="s">
        <v>920</v>
      </c>
      <c r="C457" s="13" t="s">
        <v>921</v>
      </c>
      <c r="D457" t="s">
        <v>1166</v>
      </c>
      <c r="E457" t="e">
        <f>VLOOKUP(B457,'working space'!F:F,1,FALSE)</f>
        <v>#N/A</v>
      </c>
    </row>
    <row r="458" spans="1:5" ht="97.5" x14ac:dyDescent="0.25">
      <c r="A458">
        <v>457</v>
      </c>
      <c r="B458" s="13" t="s">
        <v>922</v>
      </c>
      <c r="C458" s="13" t="s">
        <v>923</v>
      </c>
      <c r="D458" t="s">
        <v>1166</v>
      </c>
      <c r="E458" t="e">
        <f>VLOOKUP(B458,'working space'!F:F,1,FALSE)</f>
        <v>#N/A</v>
      </c>
    </row>
    <row r="459" spans="1:5" ht="97.5" x14ac:dyDescent="0.25">
      <c r="A459">
        <v>458</v>
      </c>
      <c r="B459" s="13" t="s">
        <v>924</v>
      </c>
      <c r="C459" s="13" t="s">
        <v>925</v>
      </c>
      <c r="D459" t="s">
        <v>1166</v>
      </c>
      <c r="E459" t="e">
        <f>VLOOKUP(B459,'working space'!F:F,1,FALSE)</f>
        <v>#N/A</v>
      </c>
    </row>
    <row r="460" spans="1:5" ht="97.5" x14ac:dyDescent="0.25">
      <c r="A460">
        <v>459</v>
      </c>
      <c r="B460" s="13" t="s">
        <v>926</v>
      </c>
      <c r="C460" s="13" t="s">
        <v>927</v>
      </c>
      <c r="D460" t="s">
        <v>1166</v>
      </c>
      <c r="E460" t="e">
        <f>VLOOKUP(B460,'working space'!F:F,1,FALSE)</f>
        <v>#N/A</v>
      </c>
    </row>
    <row r="461" spans="1:5" ht="97.5" x14ac:dyDescent="0.25">
      <c r="A461">
        <v>460</v>
      </c>
      <c r="B461" s="13" t="s">
        <v>928</v>
      </c>
      <c r="C461" s="13" t="s">
        <v>929</v>
      </c>
      <c r="D461" t="s">
        <v>1166</v>
      </c>
      <c r="E461" t="e">
        <f>VLOOKUP(B461,'working space'!F:F,1,FALSE)</f>
        <v>#N/A</v>
      </c>
    </row>
    <row r="462" spans="1:5" ht="97.5" x14ac:dyDescent="0.25">
      <c r="A462">
        <v>461</v>
      </c>
      <c r="B462" s="13" t="s">
        <v>930</v>
      </c>
      <c r="C462" s="13" t="s">
        <v>931</v>
      </c>
      <c r="D462" t="s">
        <v>1166</v>
      </c>
      <c r="E462" t="e">
        <f>VLOOKUP(B462,'working space'!F:F,1,FALSE)</f>
        <v>#N/A</v>
      </c>
    </row>
    <row r="463" spans="1:5" ht="97.5" x14ac:dyDescent="0.25">
      <c r="A463">
        <v>462</v>
      </c>
      <c r="B463" s="13" t="s">
        <v>932</v>
      </c>
      <c r="C463" s="13" t="s">
        <v>933</v>
      </c>
      <c r="D463" t="s">
        <v>1166</v>
      </c>
      <c r="E463" t="e">
        <f>VLOOKUP(B463,'working space'!F:F,1,FALSE)</f>
        <v>#N/A</v>
      </c>
    </row>
    <row r="464" spans="1:5" ht="97.5" x14ac:dyDescent="0.25">
      <c r="A464">
        <v>463</v>
      </c>
      <c r="B464" s="13" t="s">
        <v>934</v>
      </c>
      <c r="C464" s="13" t="s">
        <v>935</v>
      </c>
      <c r="D464" t="s">
        <v>1166</v>
      </c>
      <c r="E464" t="e">
        <f>VLOOKUP(B464,'working space'!F:F,1,FALSE)</f>
        <v>#N/A</v>
      </c>
    </row>
    <row r="465" spans="1:5" ht="97.5" x14ac:dyDescent="0.25">
      <c r="A465">
        <v>464</v>
      </c>
      <c r="B465" s="13" t="s">
        <v>936</v>
      </c>
      <c r="C465" s="13" t="s">
        <v>937</v>
      </c>
      <c r="D465" t="s">
        <v>1166</v>
      </c>
      <c r="E465" t="e">
        <f>VLOOKUP(B465,'working space'!F:F,1,FALSE)</f>
        <v>#N/A</v>
      </c>
    </row>
    <row r="466" spans="1:5" ht="97.5" x14ac:dyDescent="0.25">
      <c r="A466">
        <v>465</v>
      </c>
      <c r="B466" s="13" t="s">
        <v>938</v>
      </c>
      <c r="C466" s="13" t="s">
        <v>939</v>
      </c>
      <c r="D466" t="s">
        <v>1166</v>
      </c>
      <c r="E466" t="e">
        <f>VLOOKUP(B466,'working space'!F:F,1,FALSE)</f>
        <v>#N/A</v>
      </c>
    </row>
    <row r="467" spans="1:5" ht="97.5" x14ac:dyDescent="0.25">
      <c r="A467">
        <v>466</v>
      </c>
      <c r="B467" s="13" t="s">
        <v>940</v>
      </c>
      <c r="C467" s="13" t="s">
        <v>941</v>
      </c>
      <c r="D467" t="s">
        <v>1166</v>
      </c>
      <c r="E467" t="e">
        <f>VLOOKUP(B467,'working space'!F:F,1,FALSE)</f>
        <v>#N/A</v>
      </c>
    </row>
    <row r="468" spans="1:5" ht="97.5" x14ac:dyDescent="0.25">
      <c r="A468">
        <v>467</v>
      </c>
      <c r="B468" s="13" t="s">
        <v>942</v>
      </c>
      <c r="C468" s="13" t="s">
        <v>943</v>
      </c>
      <c r="D468" t="s">
        <v>1166</v>
      </c>
      <c r="E468" t="e">
        <f>VLOOKUP(B468,'working space'!F:F,1,FALSE)</f>
        <v>#N/A</v>
      </c>
    </row>
    <row r="469" spans="1:5" ht="97.5" x14ac:dyDescent="0.25">
      <c r="A469">
        <v>468</v>
      </c>
      <c r="B469" s="13" t="s">
        <v>944</v>
      </c>
      <c r="C469" s="13" t="s">
        <v>945</v>
      </c>
      <c r="D469" t="s">
        <v>1166</v>
      </c>
      <c r="E469" t="e">
        <f>VLOOKUP(B469,'working space'!F:F,1,FALSE)</f>
        <v>#N/A</v>
      </c>
    </row>
    <row r="470" spans="1:5" ht="117" x14ac:dyDescent="0.25">
      <c r="A470">
        <v>469</v>
      </c>
      <c r="B470" s="13" t="s">
        <v>946</v>
      </c>
      <c r="C470" s="13" t="s">
        <v>947</v>
      </c>
      <c r="D470" t="s">
        <v>1166</v>
      </c>
      <c r="E470" t="e">
        <f>VLOOKUP(B470,'working space'!F:F,1,FALSE)</f>
        <v>#N/A</v>
      </c>
    </row>
    <row r="471" spans="1:5" ht="97.5" x14ac:dyDescent="0.25">
      <c r="A471">
        <v>470</v>
      </c>
      <c r="B471" s="13" t="s">
        <v>948</v>
      </c>
      <c r="C471" s="13" t="s">
        <v>949</v>
      </c>
      <c r="D471" t="s">
        <v>1166</v>
      </c>
      <c r="E471" t="e">
        <f>VLOOKUP(B471,'working space'!F:F,1,FALSE)</f>
        <v>#N/A</v>
      </c>
    </row>
    <row r="472" spans="1:5" ht="117" x14ac:dyDescent="0.25">
      <c r="A472">
        <v>471</v>
      </c>
      <c r="B472" s="13" t="s">
        <v>950</v>
      </c>
      <c r="C472" s="13" t="s">
        <v>951</v>
      </c>
      <c r="D472" t="s">
        <v>1166</v>
      </c>
      <c r="E472" t="e">
        <f>VLOOKUP(B472,'working space'!F:F,1,FALSE)</f>
        <v>#N/A</v>
      </c>
    </row>
    <row r="473" spans="1:5" ht="97.5" x14ac:dyDescent="0.25">
      <c r="A473">
        <v>472</v>
      </c>
      <c r="B473" s="13" t="s">
        <v>952</v>
      </c>
      <c r="C473" s="13" t="s">
        <v>953</v>
      </c>
      <c r="D473" t="s">
        <v>1166</v>
      </c>
      <c r="E473" t="e">
        <f>VLOOKUP(B473,'working space'!F:F,1,FALSE)</f>
        <v>#N/A</v>
      </c>
    </row>
    <row r="474" spans="1:5" ht="117" x14ac:dyDescent="0.25">
      <c r="A474">
        <v>473</v>
      </c>
      <c r="B474" s="13" t="s">
        <v>954</v>
      </c>
      <c r="C474" s="13" t="s">
        <v>955</v>
      </c>
      <c r="D474" t="s">
        <v>1166</v>
      </c>
      <c r="E474" t="e">
        <f>VLOOKUP(B474,'working space'!F:F,1,FALSE)</f>
        <v>#N/A</v>
      </c>
    </row>
    <row r="475" spans="1:5" ht="97.5" x14ac:dyDescent="0.25">
      <c r="A475">
        <v>474</v>
      </c>
      <c r="B475" s="13" t="s">
        <v>956</v>
      </c>
      <c r="C475" s="13" t="s">
        <v>957</v>
      </c>
      <c r="D475" t="s">
        <v>1166</v>
      </c>
      <c r="E475" t="e">
        <f>VLOOKUP(B475,'working space'!F:F,1,FALSE)</f>
        <v>#N/A</v>
      </c>
    </row>
    <row r="476" spans="1:5" ht="117" x14ac:dyDescent="0.25">
      <c r="A476">
        <v>475</v>
      </c>
      <c r="B476" s="13" t="s">
        <v>958</v>
      </c>
      <c r="C476" s="13" t="s">
        <v>959</v>
      </c>
      <c r="D476" t="s">
        <v>1166</v>
      </c>
      <c r="E476" t="e">
        <f>VLOOKUP(B476,'working space'!F:F,1,FALSE)</f>
        <v>#N/A</v>
      </c>
    </row>
    <row r="477" spans="1:5" ht="97.5" x14ac:dyDescent="0.25">
      <c r="A477">
        <v>476</v>
      </c>
      <c r="B477" s="13" t="s">
        <v>960</v>
      </c>
      <c r="C477" s="13" t="s">
        <v>961</v>
      </c>
      <c r="D477" t="s">
        <v>1166</v>
      </c>
      <c r="E477" t="e">
        <f>VLOOKUP(B477,'working space'!F:F,1,FALSE)</f>
        <v>#N/A</v>
      </c>
    </row>
    <row r="478" spans="1:5" ht="117" x14ac:dyDescent="0.25">
      <c r="A478">
        <v>477</v>
      </c>
      <c r="B478" s="13" t="s">
        <v>962</v>
      </c>
      <c r="C478" s="13" t="s">
        <v>963</v>
      </c>
      <c r="D478" t="s">
        <v>1166</v>
      </c>
      <c r="E478" t="e">
        <f>VLOOKUP(B478,'working space'!F:F,1,FALSE)</f>
        <v>#N/A</v>
      </c>
    </row>
    <row r="479" spans="1:5" ht="97.5" x14ac:dyDescent="0.25">
      <c r="A479">
        <v>478</v>
      </c>
      <c r="B479" s="13" t="s">
        <v>964</v>
      </c>
      <c r="C479" s="13" t="s">
        <v>965</v>
      </c>
      <c r="D479" t="s">
        <v>1166</v>
      </c>
      <c r="E479" t="e">
        <f>VLOOKUP(B479,'working space'!F:F,1,FALSE)</f>
        <v>#N/A</v>
      </c>
    </row>
    <row r="480" spans="1:5" ht="117" x14ac:dyDescent="0.25">
      <c r="A480">
        <v>479</v>
      </c>
      <c r="B480" s="13" t="s">
        <v>966</v>
      </c>
      <c r="C480" s="13" t="s">
        <v>967</v>
      </c>
      <c r="D480" t="s">
        <v>1166</v>
      </c>
      <c r="E480" t="e">
        <f>VLOOKUP(B480,'working space'!F:F,1,FALSE)</f>
        <v>#N/A</v>
      </c>
    </row>
    <row r="481" spans="1:5" ht="97.5" x14ac:dyDescent="0.25">
      <c r="A481">
        <v>480</v>
      </c>
      <c r="B481" s="13" t="s">
        <v>968</v>
      </c>
      <c r="C481" s="13" t="s">
        <v>969</v>
      </c>
      <c r="D481" t="s">
        <v>1166</v>
      </c>
      <c r="E481" t="e">
        <f>VLOOKUP(B481,'working space'!F:F,1,FALSE)</f>
        <v>#N/A</v>
      </c>
    </row>
    <row r="482" spans="1:5" ht="117" x14ac:dyDescent="0.25">
      <c r="A482">
        <v>481</v>
      </c>
      <c r="B482" s="13" t="s">
        <v>970</v>
      </c>
      <c r="C482" s="13" t="s">
        <v>971</v>
      </c>
      <c r="D482" t="s">
        <v>1166</v>
      </c>
      <c r="E482" t="e">
        <f>VLOOKUP(B482,'working space'!F:F,1,FALSE)</f>
        <v>#N/A</v>
      </c>
    </row>
    <row r="483" spans="1:5" ht="97.5" x14ac:dyDescent="0.25">
      <c r="A483">
        <v>482</v>
      </c>
      <c r="B483" s="13" t="s">
        <v>972</v>
      </c>
      <c r="C483" s="13" t="s">
        <v>973</v>
      </c>
      <c r="D483" t="s">
        <v>1166</v>
      </c>
      <c r="E483" t="e">
        <f>VLOOKUP(B483,'working space'!F:F,1,FALSE)</f>
        <v>#N/A</v>
      </c>
    </row>
    <row r="484" spans="1:5" ht="97.5" x14ac:dyDescent="0.25">
      <c r="A484">
        <v>483</v>
      </c>
      <c r="B484" s="13" t="s">
        <v>974</v>
      </c>
      <c r="C484" s="13" t="s">
        <v>975</v>
      </c>
      <c r="D484" t="s">
        <v>1166</v>
      </c>
      <c r="E484" t="e">
        <f>VLOOKUP(B484,'working space'!F:F,1,FALSE)</f>
        <v>#N/A</v>
      </c>
    </row>
    <row r="485" spans="1:5" ht="117" x14ac:dyDescent="0.25">
      <c r="A485">
        <v>484</v>
      </c>
      <c r="B485" s="13" t="s">
        <v>976</v>
      </c>
      <c r="C485" s="13" t="s">
        <v>977</v>
      </c>
      <c r="D485" t="s">
        <v>1166</v>
      </c>
      <c r="E485" t="e">
        <f>VLOOKUP(B485,'working space'!F:F,1,FALSE)</f>
        <v>#N/A</v>
      </c>
    </row>
    <row r="486" spans="1:5" ht="117" x14ac:dyDescent="0.25">
      <c r="A486">
        <v>485</v>
      </c>
      <c r="B486" s="13" t="s">
        <v>978</v>
      </c>
      <c r="C486" s="13" t="s">
        <v>979</v>
      </c>
      <c r="D486" t="s">
        <v>1166</v>
      </c>
      <c r="E486" t="e">
        <f>VLOOKUP(B486,'working space'!F:F,1,FALSE)</f>
        <v>#N/A</v>
      </c>
    </row>
    <row r="487" spans="1:5" ht="117" x14ac:dyDescent="0.25">
      <c r="A487">
        <v>486</v>
      </c>
      <c r="B487" s="13" t="s">
        <v>980</v>
      </c>
      <c r="C487" s="13" t="s">
        <v>981</v>
      </c>
      <c r="D487" t="s">
        <v>1166</v>
      </c>
      <c r="E487" t="e">
        <f>VLOOKUP(B487,'working space'!F:F,1,FALSE)</f>
        <v>#N/A</v>
      </c>
    </row>
    <row r="488" spans="1:5" ht="117" x14ac:dyDescent="0.25">
      <c r="A488">
        <v>487</v>
      </c>
      <c r="B488" s="13" t="s">
        <v>982</v>
      </c>
      <c r="C488" s="13" t="s">
        <v>983</v>
      </c>
      <c r="D488" t="s">
        <v>1166</v>
      </c>
      <c r="E488" t="e">
        <f>VLOOKUP(B488,'working space'!F:F,1,FALSE)</f>
        <v>#N/A</v>
      </c>
    </row>
    <row r="489" spans="1:5" ht="117" x14ac:dyDescent="0.25">
      <c r="A489">
        <v>488</v>
      </c>
      <c r="B489" s="13" t="s">
        <v>984</v>
      </c>
      <c r="C489" s="13" t="s">
        <v>985</v>
      </c>
      <c r="D489" t="s">
        <v>1166</v>
      </c>
      <c r="E489" t="e">
        <f>VLOOKUP(B489,'working space'!F:F,1,FALSE)</f>
        <v>#N/A</v>
      </c>
    </row>
    <row r="490" spans="1:5" ht="117" x14ac:dyDescent="0.25">
      <c r="A490">
        <v>489</v>
      </c>
      <c r="B490" s="13" t="s">
        <v>986</v>
      </c>
      <c r="C490" s="13" t="s">
        <v>987</v>
      </c>
      <c r="D490" t="s">
        <v>1166</v>
      </c>
      <c r="E490" t="e">
        <f>VLOOKUP(B490,'working space'!F:F,1,FALSE)</f>
        <v>#N/A</v>
      </c>
    </row>
    <row r="491" spans="1:5" ht="117" x14ac:dyDescent="0.25">
      <c r="A491">
        <v>490</v>
      </c>
      <c r="B491" s="13" t="s">
        <v>988</v>
      </c>
      <c r="C491" s="13" t="s">
        <v>989</v>
      </c>
      <c r="D491" t="s">
        <v>1166</v>
      </c>
      <c r="E491" t="e">
        <f>VLOOKUP(B491,'working space'!F:F,1,FALSE)</f>
        <v>#N/A</v>
      </c>
    </row>
    <row r="492" spans="1:5" ht="117" x14ac:dyDescent="0.25">
      <c r="A492">
        <v>491</v>
      </c>
      <c r="B492" s="13" t="s">
        <v>990</v>
      </c>
      <c r="C492" s="13" t="s">
        <v>991</v>
      </c>
      <c r="D492" t="s">
        <v>1166</v>
      </c>
      <c r="E492" t="e">
        <f>VLOOKUP(B492,'working space'!F:F,1,FALSE)</f>
        <v>#N/A</v>
      </c>
    </row>
    <row r="493" spans="1:5" ht="117" x14ac:dyDescent="0.25">
      <c r="A493">
        <v>492</v>
      </c>
      <c r="B493" s="13" t="s">
        <v>992</v>
      </c>
      <c r="C493" s="13" t="s">
        <v>993</v>
      </c>
      <c r="D493" t="s">
        <v>1166</v>
      </c>
      <c r="E493" t="e">
        <f>VLOOKUP(B493,'working space'!F:F,1,FALSE)</f>
        <v>#N/A</v>
      </c>
    </row>
    <row r="494" spans="1:5" ht="117" x14ac:dyDescent="0.25">
      <c r="A494">
        <v>493</v>
      </c>
      <c r="B494" s="13" t="s">
        <v>994</v>
      </c>
      <c r="C494" s="13" t="s">
        <v>995</v>
      </c>
      <c r="D494" t="s">
        <v>1166</v>
      </c>
      <c r="E494" t="e">
        <f>VLOOKUP(B494,'working space'!F:F,1,FALSE)</f>
        <v>#N/A</v>
      </c>
    </row>
    <row r="495" spans="1:5" ht="117" x14ac:dyDescent="0.25">
      <c r="A495">
        <v>494</v>
      </c>
      <c r="B495" s="13" t="s">
        <v>996</v>
      </c>
      <c r="C495" s="13" t="s">
        <v>997</v>
      </c>
      <c r="D495" t="s">
        <v>1166</v>
      </c>
      <c r="E495" t="e">
        <f>VLOOKUP(B495,'working space'!F:F,1,FALSE)</f>
        <v>#N/A</v>
      </c>
    </row>
    <row r="496" spans="1:5" ht="117" x14ac:dyDescent="0.25">
      <c r="A496">
        <v>495</v>
      </c>
      <c r="B496" s="13" t="s">
        <v>998</v>
      </c>
      <c r="C496" s="13" t="s">
        <v>999</v>
      </c>
      <c r="D496" t="s">
        <v>1166</v>
      </c>
      <c r="E496" t="e">
        <f>VLOOKUP(B496,'working space'!F:F,1,FALSE)</f>
        <v>#N/A</v>
      </c>
    </row>
    <row r="497" spans="1:5" ht="117" x14ac:dyDescent="0.25">
      <c r="A497">
        <v>496</v>
      </c>
      <c r="B497" s="13" t="s">
        <v>1000</v>
      </c>
      <c r="C497" s="13" t="s">
        <v>1001</v>
      </c>
      <c r="D497" t="s">
        <v>1166</v>
      </c>
      <c r="E497" t="e">
        <f>VLOOKUP(B497,'working space'!F:F,1,FALSE)</f>
        <v>#N/A</v>
      </c>
    </row>
    <row r="498" spans="1:5" ht="117" x14ac:dyDescent="0.25">
      <c r="A498">
        <v>497</v>
      </c>
      <c r="B498" s="13" t="s">
        <v>1002</v>
      </c>
      <c r="C498" s="13" t="s">
        <v>1003</v>
      </c>
      <c r="D498" t="s">
        <v>1166</v>
      </c>
      <c r="E498" t="e">
        <f>VLOOKUP(B498,'working space'!F:F,1,FALSE)</f>
        <v>#N/A</v>
      </c>
    </row>
    <row r="499" spans="1:5" ht="117" x14ac:dyDescent="0.25">
      <c r="A499">
        <v>498</v>
      </c>
      <c r="B499" s="13" t="s">
        <v>1004</v>
      </c>
      <c r="C499" s="13" t="s">
        <v>1005</v>
      </c>
      <c r="D499" t="s">
        <v>1166</v>
      </c>
      <c r="E499" t="e">
        <f>VLOOKUP(B499,'working space'!F:F,1,FALSE)</f>
        <v>#N/A</v>
      </c>
    </row>
    <row r="500" spans="1:5" ht="117" x14ac:dyDescent="0.25">
      <c r="A500">
        <v>499</v>
      </c>
      <c r="B500" s="13" t="s">
        <v>1006</v>
      </c>
      <c r="C500" s="13" t="s">
        <v>1007</v>
      </c>
      <c r="D500" t="s">
        <v>1166</v>
      </c>
      <c r="E500" t="e">
        <f>VLOOKUP(B500,'working space'!F:F,1,FALSE)</f>
        <v>#N/A</v>
      </c>
    </row>
    <row r="501" spans="1:5" ht="117" x14ac:dyDescent="0.25">
      <c r="A501">
        <v>500</v>
      </c>
      <c r="B501" s="13" t="s">
        <v>1008</v>
      </c>
      <c r="C501" s="13" t="s">
        <v>1009</v>
      </c>
      <c r="D501" t="s">
        <v>1166</v>
      </c>
      <c r="E501" t="e">
        <f>VLOOKUP(B501,'working space'!F:F,1,FALSE)</f>
        <v>#N/A</v>
      </c>
    </row>
    <row r="502" spans="1:5" ht="117" x14ac:dyDescent="0.25">
      <c r="A502">
        <v>501</v>
      </c>
      <c r="B502" s="13" t="s">
        <v>1010</v>
      </c>
      <c r="C502" s="13" t="s">
        <v>1011</v>
      </c>
      <c r="D502" t="s">
        <v>1166</v>
      </c>
      <c r="E502" t="e">
        <f>VLOOKUP(B502,'working space'!F:F,1,FALSE)</f>
        <v>#N/A</v>
      </c>
    </row>
    <row r="503" spans="1:5" ht="117" x14ac:dyDescent="0.25">
      <c r="A503">
        <v>502</v>
      </c>
      <c r="B503" s="13" t="s">
        <v>1012</v>
      </c>
      <c r="C503" s="13" t="s">
        <v>1013</v>
      </c>
      <c r="D503" t="s">
        <v>1166</v>
      </c>
      <c r="E503" t="e">
        <f>VLOOKUP(B503,'working space'!F:F,1,FALSE)</f>
        <v>#N/A</v>
      </c>
    </row>
    <row r="504" spans="1:5" ht="117" x14ac:dyDescent="0.25">
      <c r="A504">
        <v>503</v>
      </c>
      <c r="B504" s="13" t="s">
        <v>1014</v>
      </c>
      <c r="C504" s="13" t="s">
        <v>1015</v>
      </c>
      <c r="D504" t="s">
        <v>1166</v>
      </c>
      <c r="E504" t="e">
        <f>VLOOKUP(B504,'working space'!F:F,1,FALSE)</f>
        <v>#N/A</v>
      </c>
    </row>
    <row r="505" spans="1:5" ht="78" x14ac:dyDescent="0.25">
      <c r="A505">
        <v>504</v>
      </c>
      <c r="B505" s="13" t="s">
        <v>1016</v>
      </c>
      <c r="C505" s="13" t="s">
        <v>1017</v>
      </c>
      <c r="D505" t="s">
        <v>1166</v>
      </c>
      <c r="E505" t="e">
        <f>VLOOKUP(B505,'working space'!F:F,1,FALSE)</f>
        <v>#N/A</v>
      </c>
    </row>
    <row r="506" spans="1:5" ht="78" x14ac:dyDescent="0.25">
      <c r="A506">
        <v>505</v>
      </c>
      <c r="B506" s="13" t="s">
        <v>1018</v>
      </c>
      <c r="C506" s="13" t="s">
        <v>1019</v>
      </c>
      <c r="D506" t="s">
        <v>1166</v>
      </c>
      <c r="E506" t="e">
        <f>VLOOKUP(B506,'working space'!F:F,1,FALSE)</f>
        <v>#N/A</v>
      </c>
    </row>
    <row r="507" spans="1:5" ht="78" x14ac:dyDescent="0.25">
      <c r="A507">
        <v>506</v>
      </c>
      <c r="B507" s="13" t="s">
        <v>1020</v>
      </c>
      <c r="C507" s="13" t="s">
        <v>1021</v>
      </c>
      <c r="D507" t="s">
        <v>1166</v>
      </c>
      <c r="E507" t="e">
        <f>VLOOKUP(B507,'working space'!F:F,1,FALSE)</f>
        <v>#N/A</v>
      </c>
    </row>
    <row r="508" spans="1:5" ht="78" x14ac:dyDescent="0.25">
      <c r="A508">
        <v>507</v>
      </c>
      <c r="B508" s="13" t="s">
        <v>1022</v>
      </c>
      <c r="C508" s="13" t="s">
        <v>1023</v>
      </c>
      <c r="D508" t="s">
        <v>1166</v>
      </c>
      <c r="E508" t="e">
        <f>VLOOKUP(B508,'working space'!F:F,1,FALSE)</f>
        <v>#N/A</v>
      </c>
    </row>
    <row r="509" spans="1:5" ht="78" x14ac:dyDescent="0.25">
      <c r="A509">
        <v>508</v>
      </c>
      <c r="B509" s="13" t="s">
        <v>1024</v>
      </c>
      <c r="C509" s="13" t="s">
        <v>1025</v>
      </c>
      <c r="D509" t="s">
        <v>1166</v>
      </c>
      <c r="E509" t="e">
        <f>VLOOKUP(B509,'working space'!F:F,1,FALSE)</f>
        <v>#N/A</v>
      </c>
    </row>
    <row r="510" spans="1:5" ht="97.5" x14ac:dyDescent="0.25">
      <c r="A510">
        <v>509</v>
      </c>
      <c r="B510" s="13" t="s">
        <v>1026</v>
      </c>
      <c r="C510" s="13" t="s">
        <v>1027</v>
      </c>
      <c r="D510" t="s">
        <v>1166</v>
      </c>
      <c r="E510" t="e">
        <f>VLOOKUP(B510,'working space'!F:F,1,FALSE)</f>
        <v>#N/A</v>
      </c>
    </row>
    <row r="511" spans="1:5" ht="78" x14ac:dyDescent="0.25">
      <c r="A511">
        <v>510</v>
      </c>
      <c r="B511" s="13" t="s">
        <v>1028</v>
      </c>
      <c r="C511" s="13" t="s">
        <v>1029</v>
      </c>
      <c r="D511" t="s">
        <v>1166</v>
      </c>
      <c r="E511" t="e">
        <f>VLOOKUP(B511,'working space'!F:F,1,FALSE)</f>
        <v>#N/A</v>
      </c>
    </row>
    <row r="512" spans="1:5" ht="78" x14ac:dyDescent="0.25">
      <c r="A512">
        <v>511</v>
      </c>
      <c r="B512" s="13" t="s">
        <v>1030</v>
      </c>
      <c r="C512" s="13" t="s">
        <v>1031</v>
      </c>
      <c r="D512" t="s">
        <v>1166</v>
      </c>
      <c r="E512" t="e">
        <f>VLOOKUP(B512,'working space'!F:F,1,FALSE)</f>
        <v>#N/A</v>
      </c>
    </row>
    <row r="513" spans="1:5" ht="78" x14ac:dyDescent="0.25">
      <c r="A513">
        <v>512</v>
      </c>
      <c r="B513" s="13" t="s">
        <v>1032</v>
      </c>
      <c r="C513" s="13" t="s">
        <v>1033</v>
      </c>
      <c r="D513" t="s">
        <v>1166</v>
      </c>
      <c r="E513" t="e">
        <f>VLOOKUP(B513,'working space'!F:F,1,FALSE)</f>
        <v>#N/A</v>
      </c>
    </row>
    <row r="514" spans="1:5" ht="78" x14ac:dyDescent="0.25">
      <c r="A514">
        <v>513</v>
      </c>
      <c r="B514" s="13" t="s">
        <v>1034</v>
      </c>
      <c r="C514" s="13" t="s">
        <v>1035</v>
      </c>
      <c r="D514" t="s">
        <v>1166</v>
      </c>
      <c r="E514" t="e">
        <f>VLOOKUP(B514,'working space'!F:F,1,FALSE)</f>
        <v>#N/A</v>
      </c>
    </row>
    <row r="515" spans="1:5" ht="97.5" x14ac:dyDescent="0.25">
      <c r="A515">
        <v>514</v>
      </c>
      <c r="B515" s="13" t="s">
        <v>1036</v>
      </c>
      <c r="C515" s="13" t="s">
        <v>1037</v>
      </c>
      <c r="D515" t="s">
        <v>1166</v>
      </c>
      <c r="E515" t="e">
        <f>VLOOKUP(B515,'working space'!F:F,1,FALSE)</f>
        <v>#N/A</v>
      </c>
    </row>
    <row r="516" spans="1:5" ht="78" x14ac:dyDescent="0.25">
      <c r="A516">
        <v>515</v>
      </c>
      <c r="B516" s="13" t="s">
        <v>1038</v>
      </c>
      <c r="C516" s="13" t="s">
        <v>1039</v>
      </c>
      <c r="D516" t="s">
        <v>1166</v>
      </c>
      <c r="E516" t="e">
        <f>VLOOKUP(B516,'working space'!F:F,1,FALSE)</f>
        <v>#N/A</v>
      </c>
    </row>
    <row r="517" spans="1:5" ht="78" x14ac:dyDescent="0.25">
      <c r="A517">
        <v>516</v>
      </c>
      <c r="B517" s="13" t="s">
        <v>1040</v>
      </c>
      <c r="C517" s="13" t="s">
        <v>1041</v>
      </c>
      <c r="D517" t="s">
        <v>1166</v>
      </c>
      <c r="E517" t="e">
        <f>VLOOKUP(B517,'working space'!F:F,1,FALSE)</f>
        <v>#N/A</v>
      </c>
    </row>
    <row r="518" spans="1:5" ht="78" x14ac:dyDescent="0.25">
      <c r="A518">
        <v>517</v>
      </c>
      <c r="B518" s="13" t="s">
        <v>1042</v>
      </c>
      <c r="C518" s="13" t="s">
        <v>1043</v>
      </c>
      <c r="D518" t="s">
        <v>1166</v>
      </c>
      <c r="E518" t="e">
        <f>VLOOKUP(B518,'working space'!F:F,1,FALSE)</f>
        <v>#N/A</v>
      </c>
    </row>
    <row r="519" spans="1:5" ht="78" x14ac:dyDescent="0.25">
      <c r="A519">
        <v>518</v>
      </c>
      <c r="B519" s="13" t="s">
        <v>1044</v>
      </c>
      <c r="C519" s="13" t="s">
        <v>1045</v>
      </c>
      <c r="D519" t="s">
        <v>1166</v>
      </c>
      <c r="E519" t="e">
        <f>VLOOKUP(B519,'working space'!F:F,1,FALSE)</f>
        <v>#N/A</v>
      </c>
    </row>
    <row r="520" spans="1:5" ht="117" x14ac:dyDescent="0.25">
      <c r="A520">
        <v>519</v>
      </c>
      <c r="B520" s="13" t="s">
        <v>1046</v>
      </c>
      <c r="C520" s="13" t="s">
        <v>1047</v>
      </c>
      <c r="D520" t="s">
        <v>1166</v>
      </c>
      <c r="E520" t="e">
        <f>VLOOKUP(B520,'working space'!F:F,1,FALSE)</f>
        <v>#N/A</v>
      </c>
    </row>
    <row r="521" spans="1:5" ht="156" x14ac:dyDescent="0.25">
      <c r="A521">
        <v>520</v>
      </c>
      <c r="B521" s="13" t="s">
        <v>1048</v>
      </c>
      <c r="C521" s="13" t="s">
        <v>1049</v>
      </c>
      <c r="D521" t="s">
        <v>1166</v>
      </c>
      <c r="E521" t="e">
        <f>VLOOKUP(B521,'working space'!F:F,1,FALSE)</f>
        <v>#N/A</v>
      </c>
    </row>
    <row r="522" spans="1:5" ht="117" x14ac:dyDescent="0.25">
      <c r="A522">
        <v>521</v>
      </c>
      <c r="B522" s="13" t="s">
        <v>1050</v>
      </c>
      <c r="C522" s="13" t="s">
        <v>1051</v>
      </c>
      <c r="D522" t="s">
        <v>1166</v>
      </c>
      <c r="E522" t="e">
        <f>VLOOKUP(B522,'working space'!F:F,1,FALSE)</f>
        <v>#N/A</v>
      </c>
    </row>
    <row r="523" spans="1:5" ht="117" x14ac:dyDescent="0.25">
      <c r="A523">
        <v>522</v>
      </c>
      <c r="B523" s="13" t="s">
        <v>1052</v>
      </c>
      <c r="C523" s="13" t="s">
        <v>1053</v>
      </c>
      <c r="D523" t="s">
        <v>1166</v>
      </c>
      <c r="E523" t="e">
        <f>VLOOKUP(B523,'working space'!F:F,1,FALSE)</f>
        <v>#N/A</v>
      </c>
    </row>
    <row r="524" spans="1:5" ht="117" x14ac:dyDescent="0.25">
      <c r="A524">
        <v>523</v>
      </c>
      <c r="B524" s="13" t="s">
        <v>1054</v>
      </c>
      <c r="C524" s="13" t="s">
        <v>1055</v>
      </c>
      <c r="D524" t="s">
        <v>1166</v>
      </c>
      <c r="E524" t="e">
        <f>VLOOKUP(B524,'working space'!F:F,1,FALSE)</f>
        <v>#N/A</v>
      </c>
    </row>
    <row r="525" spans="1:5" ht="97.5" x14ac:dyDescent="0.25">
      <c r="A525">
        <v>524</v>
      </c>
      <c r="B525" s="13" t="s">
        <v>1056</v>
      </c>
      <c r="C525" s="13" t="s">
        <v>1057</v>
      </c>
      <c r="D525" t="s">
        <v>1166</v>
      </c>
      <c r="E525" t="e">
        <f>VLOOKUP(B525,'working space'!F:F,1,FALSE)</f>
        <v>#N/A</v>
      </c>
    </row>
    <row r="526" spans="1:5" ht="97.5" x14ac:dyDescent="0.25">
      <c r="A526">
        <v>525</v>
      </c>
      <c r="B526" s="13" t="s">
        <v>1058</v>
      </c>
      <c r="C526" s="13" t="s">
        <v>1059</v>
      </c>
      <c r="D526" t="s">
        <v>1166</v>
      </c>
      <c r="E526" t="e">
        <f>VLOOKUP(B526,'working space'!F:F,1,FALSE)</f>
        <v>#N/A</v>
      </c>
    </row>
    <row r="527" spans="1:5" ht="97.5" x14ac:dyDescent="0.25">
      <c r="A527">
        <v>526</v>
      </c>
      <c r="B527" s="13" t="s">
        <v>1060</v>
      </c>
      <c r="C527" s="13" t="s">
        <v>1061</v>
      </c>
      <c r="D527" t="s">
        <v>1166</v>
      </c>
      <c r="E527" t="e">
        <f>VLOOKUP(B527,'working space'!F:F,1,FALSE)</f>
        <v>#N/A</v>
      </c>
    </row>
    <row r="528" spans="1:5" ht="97.5" x14ac:dyDescent="0.25">
      <c r="A528">
        <v>527</v>
      </c>
      <c r="B528" s="13" t="s">
        <v>1062</v>
      </c>
      <c r="C528" s="13" t="s">
        <v>1063</v>
      </c>
      <c r="D528" t="s">
        <v>1166</v>
      </c>
      <c r="E528" t="e">
        <f>VLOOKUP(B528,'working space'!F:F,1,FALSE)</f>
        <v>#N/A</v>
      </c>
    </row>
    <row r="529" spans="1:5" ht="97.5" x14ac:dyDescent="0.25">
      <c r="A529">
        <v>528</v>
      </c>
      <c r="B529" s="13" t="s">
        <v>1064</v>
      </c>
      <c r="C529" s="13" t="s">
        <v>1065</v>
      </c>
      <c r="D529" t="s">
        <v>1166</v>
      </c>
      <c r="E529" t="e">
        <f>VLOOKUP(B529,'working space'!F:F,1,FALSE)</f>
        <v>#N/A</v>
      </c>
    </row>
    <row r="530" spans="1:5" ht="97.5" x14ac:dyDescent="0.25">
      <c r="A530">
        <v>529</v>
      </c>
      <c r="B530" s="13" t="s">
        <v>1066</v>
      </c>
      <c r="C530" s="13" t="s">
        <v>1067</v>
      </c>
      <c r="D530" t="s">
        <v>1166</v>
      </c>
      <c r="E530" t="e">
        <f>VLOOKUP(B530,'working space'!F:F,1,FALSE)</f>
        <v>#N/A</v>
      </c>
    </row>
    <row r="531" spans="1:5" ht="58.5" x14ac:dyDescent="0.25">
      <c r="A531">
        <v>530</v>
      </c>
      <c r="B531" s="13" t="s">
        <v>1068</v>
      </c>
      <c r="C531" s="13" t="s">
        <v>1069</v>
      </c>
      <c r="D531" t="s">
        <v>1166</v>
      </c>
      <c r="E531" t="e">
        <f>VLOOKUP(B531,'working space'!F:F,1,FALSE)</f>
        <v>#N/A</v>
      </c>
    </row>
    <row r="532" spans="1:5" ht="58.5" x14ac:dyDescent="0.25">
      <c r="A532">
        <v>531</v>
      </c>
      <c r="B532" s="13" t="s">
        <v>1070</v>
      </c>
      <c r="C532" s="13" t="s">
        <v>1071</v>
      </c>
      <c r="D532" t="s">
        <v>1166</v>
      </c>
      <c r="E532" t="e">
        <f>VLOOKUP(B532,'working space'!F:F,1,FALSE)</f>
        <v>#N/A</v>
      </c>
    </row>
    <row r="533" spans="1:5" ht="58.5" x14ac:dyDescent="0.25">
      <c r="A533">
        <v>532</v>
      </c>
      <c r="B533" s="13" t="s">
        <v>1072</v>
      </c>
      <c r="C533" s="13" t="s">
        <v>1073</v>
      </c>
      <c r="D533" t="s">
        <v>1166</v>
      </c>
      <c r="E533" t="e">
        <f>VLOOKUP(B533,'working space'!F:F,1,FALSE)</f>
        <v>#N/A</v>
      </c>
    </row>
    <row r="534" spans="1:5" ht="97.5" x14ac:dyDescent="0.25">
      <c r="A534">
        <v>533</v>
      </c>
      <c r="B534" s="13" t="s">
        <v>1074</v>
      </c>
      <c r="C534" s="13" t="s">
        <v>1075</v>
      </c>
      <c r="D534" t="s">
        <v>1166</v>
      </c>
      <c r="E534" t="e">
        <f>VLOOKUP(B534,'working space'!F:F,1,FALSE)</f>
        <v>#N/A</v>
      </c>
    </row>
    <row r="535" spans="1:5" ht="97.5" x14ac:dyDescent="0.25">
      <c r="A535">
        <v>534</v>
      </c>
      <c r="B535" s="13" t="s">
        <v>1076</v>
      </c>
      <c r="C535" s="13" t="s">
        <v>1077</v>
      </c>
      <c r="D535" t="s">
        <v>1166</v>
      </c>
      <c r="E535" t="e">
        <f>VLOOKUP(B535,'working space'!F:F,1,FALSE)</f>
        <v>#N/A</v>
      </c>
    </row>
    <row r="536" spans="1:5" ht="97.5" x14ac:dyDescent="0.25">
      <c r="A536">
        <v>535</v>
      </c>
      <c r="B536" s="13" t="s">
        <v>1078</v>
      </c>
      <c r="C536" s="13" t="s">
        <v>1079</v>
      </c>
      <c r="D536" t="s">
        <v>1166</v>
      </c>
      <c r="E536" t="e">
        <f>VLOOKUP(B536,'working space'!F:F,1,FALSE)</f>
        <v>#N/A</v>
      </c>
    </row>
    <row r="537" spans="1:5" ht="97.5" x14ac:dyDescent="0.25">
      <c r="A537">
        <v>536</v>
      </c>
      <c r="B537" s="13" t="s">
        <v>1080</v>
      </c>
      <c r="C537" s="13" t="s">
        <v>1081</v>
      </c>
      <c r="D537" t="s">
        <v>1166</v>
      </c>
      <c r="E537" t="e">
        <f>VLOOKUP(B537,'working space'!F:F,1,FALSE)</f>
        <v>#N/A</v>
      </c>
    </row>
    <row r="538" spans="1:5" ht="97.5" x14ac:dyDescent="0.25">
      <c r="A538">
        <v>537</v>
      </c>
      <c r="B538" s="13" t="s">
        <v>1082</v>
      </c>
      <c r="C538" s="13" t="s">
        <v>1083</v>
      </c>
      <c r="D538" t="s">
        <v>1166</v>
      </c>
      <c r="E538" t="e">
        <f>VLOOKUP(B538,'working space'!F:F,1,FALSE)</f>
        <v>#N/A</v>
      </c>
    </row>
    <row r="539" spans="1:5" ht="97.5" x14ac:dyDescent="0.25">
      <c r="A539">
        <v>538</v>
      </c>
      <c r="B539" s="13" t="s">
        <v>1084</v>
      </c>
      <c r="C539" s="13" t="s">
        <v>1085</v>
      </c>
      <c r="D539" t="s">
        <v>1166</v>
      </c>
      <c r="E539" t="e">
        <f>VLOOKUP(B539,'working space'!F:F,1,FALSE)</f>
        <v>#N/A</v>
      </c>
    </row>
    <row r="540" spans="1:5" ht="117" x14ac:dyDescent="0.25">
      <c r="A540">
        <v>539</v>
      </c>
      <c r="B540" s="13" t="s">
        <v>1086</v>
      </c>
      <c r="C540" s="13" t="s">
        <v>1087</v>
      </c>
      <c r="D540" t="s">
        <v>1166</v>
      </c>
      <c r="E540" t="e">
        <f>VLOOKUP(B540,'working space'!F:F,1,FALSE)</f>
        <v>#N/A</v>
      </c>
    </row>
    <row r="541" spans="1:5" ht="78" x14ac:dyDescent="0.25">
      <c r="A541">
        <v>540</v>
      </c>
      <c r="B541" s="13" t="s">
        <v>1088</v>
      </c>
      <c r="C541" s="13" t="s">
        <v>1089</v>
      </c>
      <c r="D541" t="s">
        <v>1166</v>
      </c>
      <c r="E541" t="e">
        <f>VLOOKUP(B541,'working space'!F:F,1,FALSE)</f>
        <v>#N/A</v>
      </c>
    </row>
    <row r="542" spans="1:5" ht="78" x14ac:dyDescent="0.25">
      <c r="A542">
        <v>541</v>
      </c>
      <c r="B542" s="13" t="s">
        <v>1090</v>
      </c>
      <c r="C542" s="13" t="s">
        <v>1091</v>
      </c>
      <c r="D542" t="s">
        <v>1166</v>
      </c>
      <c r="E542" t="e">
        <f>VLOOKUP(B542,'working space'!F:F,1,FALSE)</f>
        <v>#N/A</v>
      </c>
    </row>
    <row r="543" spans="1:5" ht="78" x14ac:dyDescent="0.25">
      <c r="A543">
        <v>542</v>
      </c>
      <c r="B543" s="13" t="s">
        <v>1092</v>
      </c>
      <c r="C543" s="13" t="s">
        <v>1093</v>
      </c>
      <c r="D543" t="s">
        <v>1166</v>
      </c>
      <c r="E543" t="e">
        <f>VLOOKUP(B543,'working space'!F:F,1,FALSE)</f>
        <v>#N/A</v>
      </c>
    </row>
    <row r="544" spans="1:5" ht="78" x14ac:dyDescent="0.25">
      <c r="A544">
        <v>543</v>
      </c>
      <c r="B544" s="13" t="s">
        <v>1094</v>
      </c>
      <c r="C544" s="13" t="s">
        <v>1095</v>
      </c>
      <c r="D544" t="s">
        <v>1166</v>
      </c>
      <c r="E544" t="e">
        <f>VLOOKUP(B544,'working space'!F:F,1,FALSE)</f>
        <v>#N/A</v>
      </c>
    </row>
    <row r="545" spans="1:5" ht="39" x14ac:dyDescent="0.25">
      <c r="A545">
        <v>544</v>
      </c>
      <c r="B545" s="13" t="s">
        <v>1096</v>
      </c>
      <c r="C545" s="13" t="s">
        <v>1097</v>
      </c>
      <c r="D545" t="s">
        <v>1167</v>
      </c>
      <c r="E545" t="e">
        <f>VLOOKUP(B545,'working space'!F:F,1,FALSE)</f>
        <v>#N/A</v>
      </c>
    </row>
    <row r="546" spans="1:5" ht="39" x14ac:dyDescent="0.25">
      <c r="A546">
        <v>545</v>
      </c>
      <c r="B546" s="13" t="s">
        <v>1098</v>
      </c>
      <c r="C546" s="13" t="s">
        <v>1099</v>
      </c>
      <c r="D546" t="s">
        <v>1167</v>
      </c>
      <c r="E546" t="e">
        <f>VLOOKUP(B546,'working space'!F:F,1,FALSE)</f>
        <v>#N/A</v>
      </c>
    </row>
    <row r="547" spans="1:5" ht="58.5" x14ac:dyDescent="0.25">
      <c r="A547">
        <v>546</v>
      </c>
      <c r="B547" s="13" t="s">
        <v>1100</v>
      </c>
      <c r="C547" s="13" t="s">
        <v>1101</v>
      </c>
      <c r="D547" t="s">
        <v>1167</v>
      </c>
      <c r="E547" t="e">
        <f>VLOOKUP(B547,'working space'!F:F,1,FALSE)</f>
        <v>#N/A</v>
      </c>
    </row>
    <row r="548" spans="1:5" ht="39" x14ac:dyDescent="0.25">
      <c r="A548">
        <v>547</v>
      </c>
      <c r="B548" s="13" t="s">
        <v>1102</v>
      </c>
      <c r="C548" s="13" t="s">
        <v>1103</v>
      </c>
      <c r="D548" t="s">
        <v>1167</v>
      </c>
      <c r="E548" t="e">
        <f>VLOOKUP(B548,'working space'!F:F,1,FALSE)</f>
        <v>#N/A</v>
      </c>
    </row>
    <row r="549" spans="1:5" ht="39" x14ac:dyDescent="0.25">
      <c r="A549">
        <v>548</v>
      </c>
      <c r="B549" s="13" t="s">
        <v>1104</v>
      </c>
      <c r="C549" s="13" t="s">
        <v>1105</v>
      </c>
      <c r="D549" t="s">
        <v>1167</v>
      </c>
      <c r="E549" t="e">
        <f>VLOOKUP(B549,'working space'!F:F,1,FALSE)</f>
        <v>#N/A</v>
      </c>
    </row>
    <row r="550" spans="1:5" ht="39" x14ac:dyDescent="0.25">
      <c r="A550">
        <v>549</v>
      </c>
      <c r="B550" s="13" t="s">
        <v>1106</v>
      </c>
      <c r="C550" s="13" t="s">
        <v>1107</v>
      </c>
      <c r="D550" t="s">
        <v>1167</v>
      </c>
      <c r="E550" t="e">
        <f>VLOOKUP(B550,'working space'!F:F,1,FALSE)</f>
        <v>#N/A</v>
      </c>
    </row>
    <row r="551" spans="1:5" ht="39" x14ac:dyDescent="0.25">
      <c r="A551">
        <v>550</v>
      </c>
      <c r="B551" s="13" t="s">
        <v>1108</v>
      </c>
      <c r="C551" s="13" t="s">
        <v>1109</v>
      </c>
      <c r="D551" t="s">
        <v>1167</v>
      </c>
      <c r="E551" t="e">
        <f>VLOOKUP(B551,'working space'!F:F,1,FALSE)</f>
        <v>#N/A</v>
      </c>
    </row>
    <row r="552" spans="1:5" ht="39" x14ac:dyDescent="0.25">
      <c r="A552">
        <v>551</v>
      </c>
      <c r="B552" s="13" t="s">
        <v>1110</v>
      </c>
      <c r="C552" s="13" t="s">
        <v>1111</v>
      </c>
      <c r="D552" t="s">
        <v>1167</v>
      </c>
      <c r="E552" t="e">
        <f>VLOOKUP(B552,'working space'!F:F,1,FALSE)</f>
        <v>#N/A</v>
      </c>
    </row>
    <row r="553" spans="1:5" ht="39" x14ac:dyDescent="0.25">
      <c r="A553">
        <v>552</v>
      </c>
      <c r="B553" s="13" t="s">
        <v>1112</v>
      </c>
      <c r="C553" s="13" t="s">
        <v>1113</v>
      </c>
      <c r="D553" t="s">
        <v>1167</v>
      </c>
      <c r="E553" t="e">
        <f>VLOOKUP(B553,'working space'!F:F,1,FALSE)</f>
        <v>#N/A</v>
      </c>
    </row>
    <row r="554" spans="1:5" ht="39" x14ac:dyDescent="0.25">
      <c r="A554">
        <v>553</v>
      </c>
      <c r="B554" s="13" t="s">
        <v>1114</v>
      </c>
      <c r="C554" s="13" t="s">
        <v>1115</v>
      </c>
      <c r="D554" t="s">
        <v>1167</v>
      </c>
      <c r="E554" t="e">
        <f>VLOOKUP(B554,'working space'!F:F,1,FALSE)</f>
        <v>#N/A</v>
      </c>
    </row>
    <row r="555" spans="1:5" ht="39" x14ac:dyDescent="0.25">
      <c r="A555">
        <v>554</v>
      </c>
      <c r="B555" s="13" t="s">
        <v>1116</v>
      </c>
      <c r="C555" s="13" t="s">
        <v>1117</v>
      </c>
      <c r="D555" t="s">
        <v>1167</v>
      </c>
      <c r="E555" t="e">
        <f>VLOOKUP(B555,'working space'!F:F,1,FALSE)</f>
        <v>#N/A</v>
      </c>
    </row>
    <row r="556" spans="1:5" ht="78" x14ac:dyDescent="0.25">
      <c r="A556">
        <v>555</v>
      </c>
      <c r="B556" s="13" t="s">
        <v>1118</v>
      </c>
      <c r="C556" s="13" t="s">
        <v>1119</v>
      </c>
      <c r="D556" t="s">
        <v>1167</v>
      </c>
      <c r="E556" t="e">
        <f>VLOOKUP(B556,'working space'!F:F,1,FALSE)</f>
        <v>#N/A</v>
      </c>
    </row>
    <row r="557" spans="1:5" ht="58.5" x14ac:dyDescent="0.25">
      <c r="A557">
        <v>556</v>
      </c>
      <c r="B557" s="13" t="s">
        <v>1120</v>
      </c>
      <c r="C557" s="13" t="s">
        <v>1121</v>
      </c>
      <c r="D557" t="s">
        <v>1167</v>
      </c>
      <c r="E557" t="e">
        <f>VLOOKUP(B557,'working space'!F:F,1,FALSE)</f>
        <v>#N/A</v>
      </c>
    </row>
    <row r="558" spans="1:5" ht="58.5" x14ac:dyDescent="0.25">
      <c r="A558">
        <v>557</v>
      </c>
      <c r="B558" s="13" t="s">
        <v>1122</v>
      </c>
      <c r="C558" s="13" t="s">
        <v>1123</v>
      </c>
      <c r="D558" t="s">
        <v>1167</v>
      </c>
      <c r="E558" t="e">
        <f>VLOOKUP(B558,'working space'!F:F,1,FALSE)</f>
        <v>#N/A</v>
      </c>
    </row>
    <row r="559" spans="1:5" ht="58.5" x14ac:dyDescent="0.25">
      <c r="A559">
        <v>558</v>
      </c>
      <c r="B559" s="13" t="s">
        <v>1124</v>
      </c>
      <c r="C559" s="13" t="s">
        <v>1125</v>
      </c>
      <c r="D559" t="s">
        <v>1167</v>
      </c>
      <c r="E559" t="e">
        <f>VLOOKUP(B559,'working space'!F:F,1,FALSE)</f>
        <v>#N/A</v>
      </c>
    </row>
    <row r="560" spans="1:5" ht="58.5" x14ac:dyDescent="0.25">
      <c r="A560">
        <v>559</v>
      </c>
      <c r="B560" s="13" t="s">
        <v>1126</v>
      </c>
      <c r="C560" s="13" t="s">
        <v>1127</v>
      </c>
      <c r="D560" t="s">
        <v>1167</v>
      </c>
      <c r="E560" t="e">
        <f>VLOOKUP(B560,'working space'!F:F,1,FALSE)</f>
        <v>#N/A</v>
      </c>
    </row>
    <row r="561" spans="1:5" ht="58.5" x14ac:dyDescent="0.25">
      <c r="A561">
        <v>560</v>
      </c>
      <c r="B561" s="13" t="s">
        <v>1128</v>
      </c>
      <c r="C561" s="13" t="s">
        <v>1129</v>
      </c>
      <c r="D561" t="s">
        <v>1167</v>
      </c>
      <c r="E561" t="e">
        <f>VLOOKUP(B561,'working space'!F:F,1,FALSE)</f>
        <v>#N/A</v>
      </c>
    </row>
    <row r="562" spans="1:5" ht="58.5" x14ac:dyDescent="0.25">
      <c r="A562">
        <v>561</v>
      </c>
      <c r="B562" s="13" t="s">
        <v>1130</v>
      </c>
      <c r="C562" s="13" t="s">
        <v>1131</v>
      </c>
      <c r="D562" t="s">
        <v>1167</v>
      </c>
      <c r="E562" t="e">
        <f>VLOOKUP(B562,'working space'!F:F,1,FALSE)</f>
        <v>#N/A</v>
      </c>
    </row>
    <row r="563" spans="1:5" ht="58.5" x14ac:dyDescent="0.25">
      <c r="A563">
        <v>562</v>
      </c>
      <c r="B563" s="13" t="s">
        <v>1132</v>
      </c>
      <c r="C563" s="13" t="s">
        <v>1133</v>
      </c>
      <c r="D563" t="s">
        <v>1167</v>
      </c>
      <c r="E563" t="e">
        <f>VLOOKUP(B563,'working space'!F:F,1,FALSE)</f>
        <v>#N/A</v>
      </c>
    </row>
    <row r="564" spans="1:5" ht="58.5" x14ac:dyDescent="0.25">
      <c r="A564">
        <v>563</v>
      </c>
      <c r="B564" s="13" t="s">
        <v>1134</v>
      </c>
      <c r="C564" s="13" t="s">
        <v>1135</v>
      </c>
      <c r="D564" t="s">
        <v>1167</v>
      </c>
      <c r="E564" t="e">
        <f>VLOOKUP(B564,'working space'!F:F,1,FALSE)</f>
        <v>#N/A</v>
      </c>
    </row>
    <row r="565" spans="1:5" ht="58.5" x14ac:dyDescent="0.25">
      <c r="A565">
        <v>564</v>
      </c>
      <c r="B565" s="13" t="s">
        <v>1136</v>
      </c>
      <c r="C565" s="13" t="s">
        <v>1137</v>
      </c>
      <c r="D565" t="s">
        <v>1167</v>
      </c>
      <c r="E565" t="e">
        <f>VLOOKUP(B565,'working space'!F:F,1,FALSE)</f>
        <v>#N/A</v>
      </c>
    </row>
    <row r="566" spans="1:5" ht="58.5" x14ac:dyDescent="0.25">
      <c r="A566">
        <v>565</v>
      </c>
      <c r="B566" s="13" t="s">
        <v>1138</v>
      </c>
      <c r="C566" s="13" t="s">
        <v>1139</v>
      </c>
      <c r="D566" t="s">
        <v>1167</v>
      </c>
      <c r="E566" t="e">
        <f>VLOOKUP(B566,'working space'!F:F,1,FALSE)</f>
        <v>#N/A</v>
      </c>
    </row>
    <row r="567" spans="1:5" ht="58.5" x14ac:dyDescent="0.25">
      <c r="A567">
        <v>566</v>
      </c>
      <c r="B567" s="13" t="s">
        <v>1140</v>
      </c>
      <c r="C567" s="13" t="s">
        <v>1141</v>
      </c>
      <c r="D567" t="s">
        <v>1167</v>
      </c>
      <c r="E567" t="e">
        <f>VLOOKUP(B567,'working space'!F:F,1,FALSE)</f>
        <v>#N/A</v>
      </c>
    </row>
    <row r="568" spans="1:5" ht="58.5" x14ac:dyDescent="0.25">
      <c r="A568">
        <v>567</v>
      </c>
      <c r="B568" s="13" t="s">
        <v>1142</v>
      </c>
      <c r="C568" s="13" t="s">
        <v>1143</v>
      </c>
      <c r="D568" t="s">
        <v>1167</v>
      </c>
      <c r="E568" t="e">
        <f>VLOOKUP(B568,'working space'!F:F,1,FALSE)</f>
        <v>#N/A</v>
      </c>
    </row>
    <row r="569" spans="1:5" ht="58.5" x14ac:dyDescent="0.25">
      <c r="A569">
        <v>568</v>
      </c>
      <c r="B569" s="13" t="s">
        <v>1144</v>
      </c>
      <c r="C569" s="13" t="s">
        <v>1145</v>
      </c>
      <c r="D569" t="s">
        <v>1167</v>
      </c>
      <c r="E569" t="e">
        <f>VLOOKUP(B569,'working space'!F:F,1,FALSE)</f>
        <v>#N/A</v>
      </c>
    </row>
    <row r="570" spans="1:5" ht="58.5" x14ac:dyDescent="0.25">
      <c r="A570">
        <v>569</v>
      </c>
      <c r="B570" s="13" t="s">
        <v>1146</v>
      </c>
      <c r="C570" s="13" t="s">
        <v>1147</v>
      </c>
      <c r="D570" t="s">
        <v>1167</v>
      </c>
      <c r="E570" t="e">
        <f>VLOOKUP(B570,'working space'!F:F,1,FALSE)</f>
        <v>#N/A</v>
      </c>
    </row>
    <row r="571" spans="1:5" ht="58.5" x14ac:dyDescent="0.25">
      <c r="A571">
        <v>570</v>
      </c>
      <c r="B571" s="13" t="s">
        <v>1148</v>
      </c>
      <c r="C571" s="13" t="s">
        <v>1149</v>
      </c>
      <c r="D571" t="s">
        <v>1167</v>
      </c>
      <c r="E571" t="e">
        <f>VLOOKUP(B571,'working space'!F:F,1,FALSE)</f>
        <v>#N/A</v>
      </c>
    </row>
    <row r="572" spans="1:5" ht="58.5" x14ac:dyDescent="0.25">
      <c r="A572">
        <v>571</v>
      </c>
      <c r="B572" s="13" t="s">
        <v>1150</v>
      </c>
      <c r="C572" s="13" t="s">
        <v>1151</v>
      </c>
      <c r="D572" t="s">
        <v>1167</v>
      </c>
      <c r="E572" t="e">
        <f>VLOOKUP(B572,'working space'!F:F,1,FALSE)</f>
        <v>#N/A</v>
      </c>
    </row>
    <row r="573" spans="1:5" ht="58.5" x14ac:dyDescent="0.25">
      <c r="A573">
        <v>572</v>
      </c>
      <c r="B573" s="13" t="s">
        <v>1152</v>
      </c>
      <c r="C573" s="13" t="s">
        <v>1153</v>
      </c>
      <c r="D573" t="s">
        <v>1167</v>
      </c>
      <c r="E573" t="e">
        <f>VLOOKUP(B573,'working space'!F:F,1,FALSE)</f>
        <v>#N/A</v>
      </c>
    </row>
    <row r="574" spans="1:5" ht="58.5" x14ac:dyDescent="0.25">
      <c r="A574">
        <v>573</v>
      </c>
      <c r="B574" s="13" t="s">
        <v>1154</v>
      </c>
      <c r="C574" s="13" t="s">
        <v>1155</v>
      </c>
      <c r="D574" t="s">
        <v>1167</v>
      </c>
      <c r="E574" t="e">
        <f>VLOOKUP(B574,'working space'!F:F,1,FALSE)</f>
        <v>#N/A</v>
      </c>
    </row>
    <row r="575" spans="1:5" ht="58.5" x14ac:dyDescent="0.25">
      <c r="A575">
        <v>574</v>
      </c>
      <c r="B575" s="13" t="s">
        <v>1156</v>
      </c>
      <c r="C575" s="13" t="s">
        <v>1157</v>
      </c>
      <c r="D575" t="s">
        <v>1167</v>
      </c>
      <c r="E575" t="e">
        <f>VLOOKUP(B575,'working space'!F:F,1,FALSE)</f>
        <v>#N/A</v>
      </c>
    </row>
    <row r="576" spans="1:5" ht="58.5" x14ac:dyDescent="0.25">
      <c r="A576">
        <v>575</v>
      </c>
      <c r="B576" s="13" t="s">
        <v>1158</v>
      </c>
      <c r="C576" s="13" t="s">
        <v>1159</v>
      </c>
      <c r="D576" t="s">
        <v>1167</v>
      </c>
      <c r="E576" t="e">
        <f>VLOOKUP(B576,'working space'!F:F,1,FALSE)</f>
        <v>#N/A</v>
      </c>
    </row>
    <row r="577" spans="2:5" ht="19.5" x14ac:dyDescent="0.25">
      <c r="B577" s="13" t="s">
        <v>380</v>
      </c>
      <c r="C577" s="13" t="s">
        <v>380</v>
      </c>
      <c r="D577" t="s">
        <v>1217</v>
      </c>
      <c r="E577" t="e">
        <f>VLOOKUP(B577,'working space'!F:F,1,FALSE)</f>
        <v>#N/A</v>
      </c>
    </row>
    <row r="578" spans="2:5" ht="58.5" x14ac:dyDescent="0.25">
      <c r="B578" s="13" t="s">
        <v>1168</v>
      </c>
      <c r="C578" s="13" t="s">
        <v>1169</v>
      </c>
      <c r="D578" t="s">
        <v>1216</v>
      </c>
      <c r="E578" t="e">
        <f>VLOOKUP(B578,'working space'!F:F,1,FALSE)</f>
        <v>#N/A</v>
      </c>
    </row>
    <row r="579" spans="2:5" ht="78" x14ac:dyDescent="0.25">
      <c r="B579" s="13" t="s">
        <v>1170</v>
      </c>
      <c r="C579" s="13" t="s">
        <v>1171</v>
      </c>
      <c r="D579" t="s">
        <v>1216</v>
      </c>
      <c r="E579" t="e">
        <f>VLOOKUP(B579,'working space'!F:F,1,FALSE)</f>
        <v>#N/A</v>
      </c>
    </row>
    <row r="580" spans="2:5" ht="78" x14ac:dyDescent="0.25">
      <c r="B580" s="13" t="s">
        <v>1172</v>
      </c>
      <c r="C580" s="13" t="s">
        <v>1173</v>
      </c>
      <c r="D580" t="s">
        <v>1216</v>
      </c>
      <c r="E580" t="e">
        <f>VLOOKUP(B580,'working space'!F:F,1,FALSE)</f>
        <v>#N/A</v>
      </c>
    </row>
    <row r="581" spans="2:5" ht="78" x14ac:dyDescent="0.25">
      <c r="B581" s="13" t="s">
        <v>1174</v>
      </c>
      <c r="C581" s="13" t="s">
        <v>1175</v>
      </c>
      <c r="D581" t="s">
        <v>1216</v>
      </c>
      <c r="E581" t="e">
        <f>VLOOKUP(B581,'working space'!F:F,1,FALSE)</f>
        <v>#N/A</v>
      </c>
    </row>
    <row r="582" spans="2:5" ht="78" x14ac:dyDescent="0.25">
      <c r="B582" s="13" t="s">
        <v>1176</v>
      </c>
      <c r="C582" s="13" t="s">
        <v>1177</v>
      </c>
      <c r="D582" t="s">
        <v>1216</v>
      </c>
      <c r="E582" t="e">
        <f>VLOOKUP(B582,'working space'!F:F,1,FALSE)</f>
        <v>#N/A</v>
      </c>
    </row>
    <row r="583" spans="2:5" ht="78" x14ac:dyDescent="0.25">
      <c r="B583" s="13" t="s">
        <v>1178</v>
      </c>
      <c r="C583" s="13" t="s">
        <v>1179</v>
      </c>
      <c r="D583" t="s">
        <v>1216</v>
      </c>
      <c r="E583" t="e">
        <f>VLOOKUP(B583,'working space'!F:F,1,FALSE)</f>
        <v>#N/A</v>
      </c>
    </row>
    <row r="584" spans="2:5" ht="78" x14ac:dyDescent="0.25">
      <c r="B584" s="13" t="s">
        <v>1180</v>
      </c>
      <c r="C584" s="13" t="s">
        <v>1181</v>
      </c>
      <c r="D584" t="s">
        <v>1216</v>
      </c>
      <c r="E584" t="e">
        <f>VLOOKUP(B584,'working space'!F:F,1,FALSE)</f>
        <v>#N/A</v>
      </c>
    </row>
    <row r="585" spans="2:5" ht="78" x14ac:dyDescent="0.25">
      <c r="B585" s="13" t="s">
        <v>1182</v>
      </c>
      <c r="C585" s="13" t="s">
        <v>1183</v>
      </c>
      <c r="D585" t="s">
        <v>1216</v>
      </c>
      <c r="E585" t="e">
        <f>VLOOKUP(B585,'working space'!F:F,1,FALSE)</f>
        <v>#N/A</v>
      </c>
    </row>
    <row r="586" spans="2:5" ht="78" x14ac:dyDescent="0.25">
      <c r="B586" s="13" t="s">
        <v>1184</v>
      </c>
      <c r="C586" s="13" t="s">
        <v>1185</v>
      </c>
      <c r="D586" t="s">
        <v>1216</v>
      </c>
      <c r="E586" t="e">
        <f>VLOOKUP(B586,'working space'!F:F,1,FALSE)</f>
        <v>#N/A</v>
      </c>
    </row>
    <row r="587" spans="2:5" ht="78" x14ac:dyDescent="0.25">
      <c r="B587" s="13" t="s">
        <v>1186</v>
      </c>
      <c r="C587" s="13" t="s">
        <v>1187</v>
      </c>
      <c r="D587" t="s">
        <v>1216</v>
      </c>
      <c r="E587" t="e">
        <f>VLOOKUP(B587,'working space'!F:F,1,FALSE)</f>
        <v>#N/A</v>
      </c>
    </row>
    <row r="588" spans="2:5" ht="78" x14ac:dyDescent="0.25">
      <c r="B588" s="13" t="s">
        <v>1188</v>
      </c>
      <c r="C588" s="13" t="s">
        <v>1189</v>
      </c>
      <c r="D588" t="s">
        <v>1216</v>
      </c>
      <c r="E588" t="e">
        <f>VLOOKUP(B588,'working space'!F:F,1,FALSE)</f>
        <v>#N/A</v>
      </c>
    </row>
    <row r="589" spans="2:5" ht="78" x14ac:dyDescent="0.25">
      <c r="B589" s="13" t="s">
        <v>1190</v>
      </c>
      <c r="C589" s="13" t="s">
        <v>1191</v>
      </c>
      <c r="D589" t="s">
        <v>1216</v>
      </c>
      <c r="E589" t="e">
        <f>VLOOKUP(B589,'working space'!F:F,1,FALSE)</f>
        <v>#N/A</v>
      </c>
    </row>
    <row r="590" spans="2:5" ht="78" x14ac:dyDescent="0.25">
      <c r="B590" s="13" t="s">
        <v>1192</v>
      </c>
      <c r="C590" s="13" t="s">
        <v>1193</v>
      </c>
      <c r="D590" t="s">
        <v>1216</v>
      </c>
      <c r="E590" t="e">
        <f>VLOOKUP(B590,'working space'!F:F,1,FALSE)</f>
        <v>#N/A</v>
      </c>
    </row>
    <row r="591" spans="2:5" ht="78" x14ac:dyDescent="0.25">
      <c r="B591" s="13" t="s">
        <v>1194</v>
      </c>
      <c r="C591" s="13" t="s">
        <v>1195</v>
      </c>
      <c r="D591" t="s">
        <v>1216</v>
      </c>
      <c r="E591" t="e">
        <f>VLOOKUP(B591,'working space'!F:F,1,FALSE)</f>
        <v>#N/A</v>
      </c>
    </row>
    <row r="592" spans="2:5" ht="117" x14ac:dyDescent="0.25">
      <c r="B592" s="13" t="s">
        <v>1196</v>
      </c>
      <c r="C592" s="13" t="s">
        <v>1197</v>
      </c>
      <c r="D592" t="s">
        <v>1216</v>
      </c>
      <c r="E592" t="e">
        <f>VLOOKUP(B592,'working space'!F:F,1,FALSE)</f>
        <v>#N/A</v>
      </c>
    </row>
    <row r="593" spans="2:5" ht="58.5" x14ac:dyDescent="0.25">
      <c r="B593" s="13" t="s">
        <v>1198</v>
      </c>
      <c r="C593" s="13" t="s">
        <v>1199</v>
      </c>
      <c r="D593" t="s">
        <v>1216</v>
      </c>
      <c r="E593" t="e">
        <f>VLOOKUP(B593,'working space'!F:F,1,FALSE)</f>
        <v>#N/A</v>
      </c>
    </row>
    <row r="594" spans="2:5" ht="58.5" x14ac:dyDescent="0.25">
      <c r="B594" s="13" t="s">
        <v>1200</v>
      </c>
      <c r="C594" s="13" t="s">
        <v>1201</v>
      </c>
      <c r="D594" t="s">
        <v>1216</v>
      </c>
      <c r="E594" t="e">
        <f>VLOOKUP(B594,'working space'!F:F,1,FALSE)</f>
        <v>#N/A</v>
      </c>
    </row>
    <row r="595" spans="2:5" ht="58.5" x14ac:dyDescent="0.25">
      <c r="B595" s="13" t="s">
        <v>1202</v>
      </c>
      <c r="C595" s="13" t="s">
        <v>1203</v>
      </c>
      <c r="D595" t="s">
        <v>1216</v>
      </c>
      <c r="E595" t="e">
        <f>VLOOKUP(B595,'working space'!F:F,1,FALSE)</f>
        <v>#N/A</v>
      </c>
    </row>
    <row r="596" spans="2:5" ht="58.5" x14ac:dyDescent="0.25">
      <c r="B596" s="13" t="s">
        <v>1204</v>
      </c>
      <c r="C596" s="13" t="s">
        <v>1205</v>
      </c>
      <c r="D596" t="s">
        <v>1216</v>
      </c>
      <c r="E596" t="e">
        <f>VLOOKUP(B596,'working space'!F:F,1,FALSE)</f>
        <v>#N/A</v>
      </c>
    </row>
    <row r="597" spans="2:5" ht="78" x14ac:dyDescent="0.25">
      <c r="B597" s="13" t="s">
        <v>1206</v>
      </c>
      <c r="C597" s="13" t="s">
        <v>1207</v>
      </c>
      <c r="D597" t="s">
        <v>1216</v>
      </c>
      <c r="E597" t="e">
        <f>VLOOKUP(B597,'working space'!F:F,1,FALSE)</f>
        <v>#N/A</v>
      </c>
    </row>
    <row r="598" spans="2:5" ht="78" x14ac:dyDescent="0.25">
      <c r="B598" s="13" t="s">
        <v>1208</v>
      </c>
      <c r="C598" s="13" t="s">
        <v>1209</v>
      </c>
      <c r="D598" t="s">
        <v>1216</v>
      </c>
      <c r="E598" t="e">
        <f>VLOOKUP(B598,'working space'!F:F,1,FALSE)</f>
        <v>#N/A</v>
      </c>
    </row>
    <row r="599" spans="2:5" ht="97.5" x14ac:dyDescent="0.25">
      <c r="B599" s="13" t="s">
        <v>1210</v>
      </c>
      <c r="C599" s="13" t="s">
        <v>1211</v>
      </c>
      <c r="D599" t="s">
        <v>1216</v>
      </c>
      <c r="E599" t="e">
        <f>VLOOKUP(B599,'working space'!F:F,1,FALSE)</f>
        <v>#N/A</v>
      </c>
    </row>
    <row r="600" spans="2:5" ht="58.5" x14ac:dyDescent="0.25">
      <c r="B600" s="13" t="s">
        <v>1212</v>
      </c>
      <c r="C600" s="13" t="s">
        <v>1213</v>
      </c>
      <c r="D600" t="s">
        <v>1216</v>
      </c>
      <c r="E600" t="e">
        <f>VLOOKUP(B600,'working space'!F:F,1,FALSE)</f>
        <v>#N/A</v>
      </c>
    </row>
    <row r="601" spans="2:5" ht="78" x14ac:dyDescent="0.25">
      <c r="B601" s="13" t="s">
        <v>1214</v>
      </c>
      <c r="C601" s="13" t="s">
        <v>1215</v>
      </c>
      <c r="D601" t="s">
        <v>1216</v>
      </c>
      <c r="E601" t="e">
        <f>VLOOKUP(B601,'working space'!F:F,1,FALSE)</f>
        <v>#N/A</v>
      </c>
    </row>
    <row r="602" spans="2:5" x14ac:dyDescent="0.25">
      <c r="E602" t="e">
        <f>VLOOKUP(B602,'working space'!F:F,1,FALSE)</f>
        <v>#N/A</v>
      </c>
    </row>
    <row r="603" spans="2:5" x14ac:dyDescent="0.25">
      <c r="E603" t="e">
        <f>VLOOKUP(B603,'working space'!F:F,1,FALSE)</f>
        <v>#N/A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3A747-5669-45D1-ABAD-175264B5C2CC}">
  <sheetPr codeName="Sheet2"/>
  <dimension ref="A1:L982"/>
  <sheetViews>
    <sheetView tabSelected="1" topLeftCell="I111" zoomScaleNormal="121" workbookViewId="0">
      <selection activeCell="H4" sqref="H4"/>
    </sheetView>
  </sheetViews>
  <sheetFormatPr defaultColWidth="24" defaultRowHeight="36.950000000000003" customHeight="1" x14ac:dyDescent="0.25"/>
  <cols>
    <col min="1" max="1" width="24" style="58"/>
    <col min="2" max="2" width="50.42578125" style="58" customWidth="1"/>
    <col min="4" max="4" width="40" customWidth="1"/>
    <col min="7" max="7" width="11.28515625" customWidth="1"/>
    <col min="8" max="8" width="24" style="9"/>
    <col min="9" max="9" width="37" style="8" customWidth="1"/>
    <col min="10" max="10" width="22.140625" style="8" customWidth="1"/>
    <col min="11" max="11" width="58.85546875" style="14" customWidth="1"/>
    <col min="12" max="12" width="66" style="10" customWidth="1"/>
    <col min="13" max="13" width="45" customWidth="1"/>
  </cols>
  <sheetData>
    <row r="1" spans="1:12" ht="36.950000000000003" customHeight="1" thickTop="1" thickBot="1" x14ac:dyDescent="0.3">
      <c r="A1" s="2" t="s">
        <v>376</v>
      </c>
      <c r="B1" s="3" t="s">
        <v>377</v>
      </c>
      <c r="C1" s="3"/>
      <c r="D1" s="4" t="s">
        <v>378</v>
      </c>
      <c r="E1" s="8"/>
    </row>
    <row r="2" spans="1:12" ht="36.950000000000003" customHeight="1" thickTop="1" thickBot="1" x14ac:dyDescent="0.3">
      <c r="A2" s="5"/>
      <c r="B2" s="6"/>
      <c r="C2" s="6" t="s">
        <v>379</v>
      </c>
      <c r="D2" s="4" t="s">
        <v>1161</v>
      </c>
      <c r="E2" s="8" t="s">
        <v>381</v>
      </c>
      <c r="F2" t="s">
        <v>382</v>
      </c>
      <c r="G2" t="s">
        <v>383</v>
      </c>
      <c r="H2" s="11" t="s">
        <v>384</v>
      </c>
      <c r="I2" s="8" t="s">
        <v>1218</v>
      </c>
      <c r="J2" s="8" t="s">
        <v>1219</v>
      </c>
      <c r="K2" s="14" t="s">
        <v>1220</v>
      </c>
      <c r="L2" s="12" t="s">
        <v>1160</v>
      </c>
    </row>
    <row r="3" spans="1:12" ht="36.950000000000003" customHeight="1" thickTop="1" thickBot="1" x14ac:dyDescent="0.3">
      <c r="A3" s="18" t="s">
        <v>1224</v>
      </c>
      <c r="B3" s="20" t="s">
        <v>1225</v>
      </c>
      <c r="C3" s="6" t="s">
        <v>1162</v>
      </c>
      <c r="D3" s="4"/>
      <c r="E3" s="8"/>
      <c r="F3" t="s">
        <v>1401</v>
      </c>
      <c r="G3" t="str">
        <f>VLOOKUP('working space'!A3,ordering!A:D,4,FALSE)</f>
        <v>1</v>
      </c>
      <c r="H3" t="s">
        <v>1401</v>
      </c>
      <c r="I3" s="8" t="str" cm="1">
        <f t="array" ref="I3">IF(ISERR(SEARCH("=sum",F3)), BuildReportDescriptionText(B3),_xlfn.CONCAT(B3,"(",A3,")", ":",C3))</f>
        <v>Percentage of live births that weigh less than 2,500gm out of the total live births weighed(NUT_LBW):Nutrition</v>
      </c>
      <c r="J3" s="8" t="str" cm="1">
        <f t="array" ref="J3">IF(ISERR(SEARCH("=sum",F3)), BuildReportTitleText(B3),_xlfn.CONCAT(B3,":",C3))</f>
        <v>Percentage of live births that weigh less than 2,500gm out of the total live births weighed:Nutrition</v>
      </c>
      <c r="K3" s="14" t="str">
        <f>_xlfn.CONCAT(G3," - ",J3)</f>
        <v>1 - Percentage of live births that weigh less than 2,500gm out of the total live births weighed:Nutrition</v>
      </c>
      <c r="L3" s="10" t="str">
        <f>_xlfn.CONCAT(G3," - ",I3)</f>
        <v>1 - Percentage of live births that weigh less than 2,500gm out of the total live births weighed(NUT_LBW):Nutrition</v>
      </c>
    </row>
    <row r="4" spans="1:12" ht="61.5" thickBot="1" x14ac:dyDescent="0.35">
      <c r="A4" s="21" t="s">
        <v>1226</v>
      </c>
      <c r="B4" s="23" t="s">
        <v>1227</v>
      </c>
      <c r="C4" s="6" t="s">
        <v>1162</v>
      </c>
      <c r="D4" s="7"/>
      <c r="E4" s="8"/>
      <c r="F4" t="s">
        <v>722</v>
      </c>
      <c r="G4" t="str">
        <f>VLOOKUP('working space'!A4,ordering!A:D,4,FALSE)</f>
        <v>1.1</v>
      </c>
      <c r="H4" t="s">
        <v>722</v>
      </c>
      <c r="I4" s="8" t="str" cm="1">
        <f t="array" ref="I4">IF(ISERR(SEARCH("=sum",F4)), BuildReportDescriptionText(B4),_xlfn.CONCAT(B4,"(",A4,")", ":",C4))</f>
        <v>Percentage of live births that weigh less than 2,500gm out of the total live births weighed - Number of live-born babies with birth weight less than 2,500 gm(NUT_GMP.):Nutrition</v>
      </c>
      <c r="J4" s="8" t="str" cm="1">
        <f t="array" ref="J4">IF(ISERR(SEARCH("=sum",F4)), BuildReportTitleText(B4),_xlfn.CONCAT(B4,":",C4))</f>
        <v>Percentage of live births that weigh less than 2,500gm out of the total live births weighed - Number of live-born babies with birth weight less than 2,500 gm</v>
      </c>
      <c r="K4" s="14" t="str">
        <f t="shared" ref="K4:K67" si="0">_xlfn.CONCAT(G4," - ",J4)</f>
        <v>1.1 - Percentage of live births that weigh less than 2,500gm out of the total live births weighed - Number of live-born babies with birth weight less than 2,500 gm</v>
      </c>
      <c r="L4" s="10" t="str">
        <f t="shared" ref="L4:L67" si="1">_xlfn.CONCAT(G4," - ",I4)</f>
        <v>1.1 - Percentage of live births that weigh less than 2,500gm out of the total live births weighed - Number of live-born babies with birth weight less than 2,500 gm(NUT_GMP.):Nutrition</v>
      </c>
    </row>
    <row r="5" spans="1:12" ht="36.950000000000003" customHeight="1" thickBot="1" x14ac:dyDescent="0.35">
      <c r="A5" s="21" t="s">
        <v>1228</v>
      </c>
      <c r="B5" s="23" t="s">
        <v>1229</v>
      </c>
      <c r="C5" s="6" t="s">
        <v>1162</v>
      </c>
      <c r="D5" s="7"/>
      <c r="E5" s="8"/>
      <c r="F5" t="s">
        <v>724</v>
      </c>
      <c r="G5" t="str">
        <f>VLOOKUP('working space'!A5,ordering!A:D,4,FALSE)</f>
        <v>1.2</v>
      </c>
      <c r="H5" t="s">
        <v>724</v>
      </c>
      <c r="I5" s="8" t="str" cm="1">
        <f t="array" ref="I5">IF(ISERR(SEARCH("=sum",F5)), BuildReportDescriptionText(B5),_xlfn.CONCAT(B5,"(",A5,")", ":",C5))</f>
        <v>Percentage of live births that weigh less than 2,500gm out of the total live births weighed - Total number of live births weighed(NUT_LBW.2.):Nutrition</v>
      </c>
      <c r="J5" s="8" t="str" cm="1">
        <f t="array" ref="J5">IF(ISERR(SEARCH("=sum",F5)), BuildReportTitleText(B5),_xlfn.CONCAT(B5,":",C5))</f>
        <v>Percentage of live births that weigh less than 2,500gm out of the total live births weighed - Total number of live births weighed</v>
      </c>
      <c r="K5" s="14" t="str">
        <f t="shared" si="0"/>
        <v>1.2 - Percentage of live births that weigh less than 2,500gm out of the total live births weighed - Total number of live births weighed</v>
      </c>
      <c r="L5" s="10" t="str">
        <f t="shared" si="1"/>
        <v>1.2 - Percentage of live births that weigh less than 2,500gm out of the total live births weighed - Total number of live births weighed(NUT_LBW.2.):Nutrition</v>
      </c>
    </row>
    <row r="6" spans="1:12" ht="36.950000000000003" customHeight="1" thickBot="1" x14ac:dyDescent="0.35">
      <c r="A6" s="27" t="s">
        <v>1230</v>
      </c>
      <c r="B6" s="28" t="s">
        <v>1231</v>
      </c>
      <c r="C6" s="6" t="s">
        <v>1162</v>
      </c>
      <c r="D6" s="7"/>
      <c r="E6" s="8"/>
      <c r="F6" t="s">
        <v>1402</v>
      </c>
      <c r="G6" t="str">
        <f>VLOOKUP('working space'!A6,ordering!A:D,4,FALSE)</f>
        <v>2</v>
      </c>
      <c r="H6" t="s">
        <v>1402</v>
      </c>
      <c r="I6" s="8" t="str" cm="1">
        <f t="array" ref="I6">IF(ISERR(SEARCH("=sum",F6)), BuildReportDescriptionText(B6),_xlfn.CONCAT(B6,"(",A6,")", ":",C6))</f>
        <v>Number of children less than 2 yr weighted during GMP session(NTR_GMP.1):Nutrition</v>
      </c>
      <c r="J6" s="8" t="str" cm="1">
        <f t="array" ref="J6">IF(ISERR(SEARCH("=sum",F6)), BuildReportTitleText(B6),_xlfn.CONCAT(B6,":",C6))</f>
        <v>Number of children less than 2 yr weighted during GMP session:Nutrition</v>
      </c>
      <c r="K6" s="14" t="str">
        <f t="shared" si="0"/>
        <v>2 - Number of children less than 2 yr weighted during GMP session:Nutrition</v>
      </c>
      <c r="L6" s="10" t="str">
        <f t="shared" si="1"/>
        <v>2 - Number of children less than 2 yr weighted during GMP session(NTR_GMP.1):Nutrition</v>
      </c>
    </row>
    <row r="7" spans="1:12" ht="36.950000000000003" customHeight="1" thickBot="1" x14ac:dyDescent="0.3">
      <c r="A7" s="21" t="s">
        <v>1232</v>
      </c>
      <c r="B7" s="23" t="s">
        <v>1233</v>
      </c>
      <c r="C7" s="6" t="s">
        <v>1162</v>
      </c>
      <c r="D7" s="4"/>
      <c r="E7" s="8"/>
      <c r="F7" t="s">
        <v>294</v>
      </c>
      <c r="G7" t="str">
        <f>VLOOKUP('working space'!A7,ordering!A:D,4,FALSE)</f>
        <v>2.1</v>
      </c>
      <c r="H7" t="s">
        <v>294</v>
      </c>
      <c r="I7" s="8" t="str" cm="1">
        <f t="array" ref="I7">IF(ISERR(SEARCH("=sum",F7)), BuildReportDescriptionText(B7),_xlfn.CONCAT(B7,"(",A7,")", ":",C7))</f>
        <v>Number of children less than 2 yr weighted during GMP session - 0 - 5 months(NTR_GMP.1. 1):Nutrition</v>
      </c>
      <c r="J7" s="8" t="str" cm="1">
        <f t="array" ref="J7">IF(ISERR(SEARCH("=sum",F7)), BuildReportTitleText(B7),_xlfn.CONCAT(B7,":",C7))</f>
        <v>Number of children less than 2 yr weighted during GMP session - 0 - 5 months</v>
      </c>
      <c r="K7" s="14" t="str">
        <f t="shared" si="0"/>
        <v>2.1 - Number of children less than 2 yr weighted during GMP session - 0 - 5 months</v>
      </c>
      <c r="L7" s="10" t="str">
        <f t="shared" si="1"/>
        <v>2.1 - Number of children less than 2 yr weighted during GMP session - 0 - 5 months(NTR_GMP.1. 1):Nutrition</v>
      </c>
    </row>
    <row r="8" spans="1:12" ht="36.950000000000003" customHeight="1" thickBot="1" x14ac:dyDescent="0.35">
      <c r="A8" s="21" t="s">
        <v>1234</v>
      </c>
      <c r="B8" s="23" t="s">
        <v>1235</v>
      </c>
      <c r="C8" s="6" t="s">
        <v>1162</v>
      </c>
      <c r="D8" s="7"/>
      <c r="E8" s="8"/>
      <c r="F8" t="s">
        <v>296</v>
      </c>
      <c r="G8" t="str">
        <f>VLOOKUP('working space'!A8,ordering!A:D,4,FALSE)</f>
        <v>2.2</v>
      </c>
      <c r="H8" t="s">
        <v>296</v>
      </c>
      <c r="I8" s="8" t="str" cm="1">
        <f t="array" ref="I8">IF(ISERR(SEARCH("=sum",F8)), BuildReportDescriptionText(B8),_xlfn.CONCAT(B8,"(",A8,")", ":",C8))</f>
        <v>Number of children less than 2 yr weighted during GMP session - 6 - 23 months(NTR_GMP.1. 2):Nutrition</v>
      </c>
      <c r="J8" s="8" t="str" cm="1">
        <f t="array" ref="J8">IF(ISERR(SEARCH("=sum",F8)), BuildReportTitleText(B8),_xlfn.CONCAT(B8,":",C8))</f>
        <v>Number of children less than 2 yr weighted during GMP session - 6 - 23 months</v>
      </c>
      <c r="K8" s="14" t="str">
        <f t="shared" si="0"/>
        <v>2.2 - Number of children less than 2 yr weighted during GMP session - 6 - 23 months</v>
      </c>
      <c r="L8" s="10" t="str">
        <f t="shared" si="1"/>
        <v>2.2 - Number of children less than 2 yr weighted during GMP session - 6 - 23 months(NTR_GMP.1. 2):Nutrition</v>
      </c>
    </row>
    <row r="9" spans="1:12" ht="36.950000000000003" customHeight="1" thickBot="1" x14ac:dyDescent="0.35">
      <c r="A9" s="27" t="s">
        <v>1236</v>
      </c>
      <c r="B9" s="28" t="s">
        <v>1237</v>
      </c>
      <c r="C9" s="6" t="s">
        <v>1162</v>
      </c>
      <c r="D9" s="7"/>
      <c r="E9" s="8"/>
      <c r="F9" t="s">
        <v>1403</v>
      </c>
      <c r="G9" t="str">
        <f>VLOOKUP('working space'!A9,ordering!A:D,4,FALSE)</f>
        <v>3</v>
      </c>
      <c r="H9" t="s">
        <v>1403</v>
      </c>
      <c r="I9" s="8" t="str" cm="1">
        <f t="array" ref="I9">IF(ISERR(SEARCH("=sum",F9)), BuildReportDescriptionText(B9),_xlfn.CONCAT(B9,"(",A9,")", ":",C9))</f>
        <v>Number of weights recorded with moderate malnutrition, by age (Z-score between -2 and -3)(NUT_GMP.MM.1):Nutrition</v>
      </c>
      <c r="J9" s="8" t="str" cm="1">
        <f t="array" ref="J9">IF(ISERR(SEARCH("=sum",F9)), BuildReportTitleText(B9),_xlfn.CONCAT(B9,":",C9))</f>
        <v>Number of weights recorded with moderate malnutrition, by age (Z-score between -2 and -3):Nutrition</v>
      </c>
      <c r="K9" s="14" t="str">
        <f t="shared" si="0"/>
        <v>3 - Number of weights recorded with moderate malnutrition, by age (Z-score between -2 and -3):Nutrition</v>
      </c>
      <c r="L9" s="10" t="str">
        <f t="shared" si="1"/>
        <v>3 - Number of weights recorded with moderate malnutrition, by age (Z-score between -2 and -3)(NUT_GMP.MM.1):Nutrition</v>
      </c>
    </row>
    <row r="10" spans="1:12" ht="46.5" thickBot="1" x14ac:dyDescent="0.35">
      <c r="A10" s="21" t="s">
        <v>1238</v>
      </c>
      <c r="B10" s="23" t="s">
        <v>1233</v>
      </c>
      <c r="C10" s="6" t="s">
        <v>1162</v>
      </c>
      <c r="D10" s="7"/>
      <c r="E10" s="8"/>
      <c r="F10" t="s">
        <v>298</v>
      </c>
      <c r="G10" t="str">
        <f>VLOOKUP('working space'!A10,ordering!A:D,4,FALSE)</f>
        <v>3.1</v>
      </c>
      <c r="H10" t="s">
        <v>298</v>
      </c>
      <c r="I10" s="8" t="str" cm="1">
        <f t="array" ref="I10">IF(ISERR(SEARCH("=sum",F10)), BuildReportDescriptionText(B10),_xlfn.CONCAT(B10,"(",A10,")", ":",C10))</f>
        <v>Number of weights recorded with moderate malnutrition, by age (Z-score between -2 and -3) - 0 - 5 months(NUT_GMP.MM.1. 1):Nutrition</v>
      </c>
      <c r="J10" s="8" t="str" cm="1">
        <f t="array" ref="J10">IF(ISERR(SEARCH("=sum",F10)), BuildReportTitleText(B10),_xlfn.CONCAT(B10,":",C10))</f>
        <v>Number of weights recorded with moderate malnutrition, by age (Z-score between -2 and -3) - 0 - 5 months</v>
      </c>
      <c r="K10" s="14" t="str">
        <f t="shared" si="0"/>
        <v>3.1 - Number of weights recorded with moderate malnutrition, by age (Z-score between -2 and -3) - 0 - 5 months</v>
      </c>
      <c r="L10" s="10" t="str">
        <f t="shared" si="1"/>
        <v>3.1 - Number of weights recorded with moderate malnutrition, by age (Z-score between -2 and -3) - 0 - 5 months(NUT_GMP.MM.1. 1):Nutrition</v>
      </c>
    </row>
    <row r="11" spans="1:12" ht="36.950000000000003" customHeight="1" thickBot="1" x14ac:dyDescent="0.3">
      <c r="A11" s="21" t="s">
        <v>1239</v>
      </c>
      <c r="B11" s="23" t="s">
        <v>1235</v>
      </c>
      <c r="C11" s="6" t="s">
        <v>1162</v>
      </c>
      <c r="D11" s="4"/>
      <c r="E11" s="8"/>
      <c r="F11" t="s">
        <v>300</v>
      </c>
      <c r="G11" t="str">
        <f>VLOOKUP('working space'!A11,ordering!A:D,4,FALSE)</f>
        <v>3.2</v>
      </c>
      <c r="H11" t="s">
        <v>300</v>
      </c>
      <c r="I11" s="8" t="str" cm="1">
        <f t="array" ref="I11">IF(ISERR(SEARCH("=sum",F11)), BuildReportDescriptionText(B11),_xlfn.CONCAT(B11,"(",A11,")", ":",C11))</f>
        <v>Number of weights recorded with moderate malnutrition, by age (Z-score between -2 and -3) - 6 - 23 months(NUT_GMP.MM.1. 2):Nutrition</v>
      </c>
      <c r="J11" s="8" t="str" cm="1">
        <f t="array" ref="J11">IF(ISERR(SEARCH("=sum",F11)), BuildReportTitleText(B11),_xlfn.CONCAT(B11,":",C11))</f>
        <v>Number of weights recorded with moderate malnutrition, by age (Z-score between -2 and -3) - 6 - 23 months</v>
      </c>
      <c r="K11" s="14" t="str">
        <f t="shared" si="0"/>
        <v>3.2 - Number of weights recorded with moderate malnutrition, by age (Z-score between -2 and -3) - 6 - 23 months</v>
      </c>
      <c r="L11" s="10" t="str">
        <f t="shared" si="1"/>
        <v>3.2 - Number of weights recorded with moderate malnutrition, by age (Z-score between -2 and -3) - 6 - 23 months(NUT_GMP.MM.1. 2):Nutrition</v>
      </c>
    </row>
    <row r="12" spans="1:12" ht="36.950000000000003" customHeight="1" thickBot="1" x14ac:dyDescent="0.3">
      <c r="A12" s="27" t="s">
        <v>1252</v>
      </c>
      <c r="B12" s="28" t="s">
        <v>1253</v>
      </c>
      <c r="C12" s="6" t="s">
        <v>1162</v>
      </c>
      <c r="D12" s="17"/>
      <c r="E12" s="8"/>
      <c r="F12" t="s">
        <v>1405</v>
      </c>
      <c r="G12" t="str">
        <f>VLOOKUP('working space'!A12,ordering!A:D,4,FALSE)</f>
        <v>4</v>
      </c>
      <c r="H12" t="s">
        <v>1405</v>
      </c>
      <c r="I12" s="8" t="str" cm="1">
        <f t="array" ref="I12">IF(ISERR(SEARCH("=sum",F12)), BuildReportDescriptionText(B12),_xlfn.CONCAT(B12,"(",A12,")", ":",C12))</f>
        <v>Total number of children aged 24 - 59 months dewormed(NUT_DeW.1):Nutrition</v>
      </c>
      <c r="J12" s="8" t="str" cm="1">
        <f t="array" ref="J12">IF(ISERR(SEARCH("=sum",F12)), BuildReportTitleText(B12),_xlfn.CONCAT(B12,":",C12))</f>
        <v>Total number of children aged 24 - 59 months dewormed:Nutrition</v>
      </c>
      <c r="K12" s="14" t="str">
        <f t="shared" si="0"/>
        <v>4 - Total number of children aged 24 - 59 months dewormed:Nutrition</v>
      </c>
      <c r="L12" s="10" t="str">
        <f t="shared" si="1"/>
        <v>4 - Total number of children aged 24 - 59 months dewormed(NUT_DeW.1):Nutrition</v>
      </c>
    </row>
    <row r="13" spans="1:12" ht="36.950000000000003" customHeight="1" thickBot="1" x14ac:dyDescent="0.3">
      <c r="A13" s="21" t="s">
        <v>1254</v>
      </c>
      <c r="B13" s="23" t="s">
        <v>1250</v>
      </c>
      <c r="C13" s="6" t="s">
        <v>1162</v>
      </c>
      <c r="D13" s="17"/>
      <c r="E13" s="8"/>
      <c r="F13" t="s">
        <v>746</v>
      </c>
      <c r="G13" t="str">
        <f>VLOOKUP('working space'!A13,ordering!A:D,4,FALSE)</f>
        <v>4.1</v>
      </c>
      <c r="H13" t="s">
        <v>746</v>
      </c>
      <c r="I13" s="8" t="str" cm="1">
        <f t="array" ref="I13">IF(ISERR(SEARCH("=sum",F13)), BuildReportDescriptionText(B13),_xlfn.CONCAT(B13,"(",A13,")", ":",C13))</f>
        <v>Total number of children aged 24 - 59 months dewormed - First dose(NUT_DeW.1. 1):Nutrition</v>
      </c>
      <c r="J13" s="8" t="str" cm="1">
        <f t="array" ref="J13">IF(ISERR(SEARCH("=sum",F13)), BuildReportTitleText(B13),_xlfn.CONCAT(B13,":",C13))</f>
        <v>Total number of children aged 24 - 59 months dewormed - First dose</v>
      </c>
      <c r="K13" s="14" t="str">
        <f t="shared" si="0"/>
        <v>4.1 - Total number of children aged 24 - 59 months dewormed - First dose</v>
      </c>
      <c r="L13" s="10" t="str">
        <f t="shared" si="1"/>
        <v>4.1 - Total number of children aged 24 - 59 months dewormed - First dose(NUT_DeW.1. 1):Nutrition</v>
      </c>
    </row>
    <row r="14" spans="1:12" ht="36.950000000000003" customHeight="1" thickBot="1" x14ac:dyDescent="0.3">
      <c r="A14" s="21" t="s">
        <v>1255</v>
      </c>
      <c r="B14" s="23" t="s">
        <v>1251</v>
      </c>
      <c r="C14" s="6" t="s">
        <v>1162</v>
      </c>
      <c r="D14" s="4"/>
      <c r="E14" s="8"/>
      <c r="F14" t="s">
        <v>748</v>
      </c>
      <c r="G14" t="str">
        <f>VLOOKUP('working space'!A14,ordering!A:D,4,FALSE)</f>
        <v>4.2</v>
      </c>
      <c r="H14" t="s">
        <v>748</v>
      </c>
      <c r="I14" s="8" t="str" cm="1">
        <f t="array" ref="I14">IF(ISERR(SEARCH("=sum",F14)), BuildReportDescriptionText(B14),_xlfn.CONCAT(B14,"(",A14,")", ":",C14))</f>
        <v>Total number of children aged 24 - 59 months dewormed - Second dose(NUT_DeW.1. 2):Nutrition</v>
      </c>
      <c r="J14" s="8" t="str" cm="1">
        <f t="array" ref="J14">IF(ISERR(SEARCH("=sum",F14)), BuildReportTitleText(B14),_xlfn.CONCAT(B14,":",C14))</f>
        <v>Total number of children aged 24 - 59 months dewormed - Second dose</v>
      </c>
      <c r="K14" s="14" t="str">
        <f t="shared" si="0"/>
        <v>4.2 - Total number of children aged 24 - 59 months dewormed - Second dose</v>
      </c>
      <c r="L14" s="10" t="str">
        <f t="shared" si="1"/>
        <v>4.2 - Total number of children aged 24 - 59 months dewormed - Second dose(NUT_DeW.1. 2):Nutrition</v>
      </c>
    </row>
    <row r="15" spans="1:12" ht="46.5" thickBot="1" x14ac:dyDescent="0.35">
      <c r="A15" s="21" t="s">
        <v>1256</v>
      </c>
      <c r="B15" s="23" t="s">
        <v>1257</v>
      </c>
      <c r="C15" s="6" t="s">
        <v>1162</v>
      </c>
      <c r="D15" s="7"/>
      <c r="E15" s="8"/>
      <c r="F15" t="s">
        <v>750</v>
      </c>
      <c r="G15" t="str">
        <f>VLOOKUP('working space'!A15,ordering!A:D,4,FALSE)</f>
        <v>4.3</v>
      </c>
      <c r="H15" t="s">
        <v>750</v>
      </c>
      <c r="I15" s="8" t="str" cm="1">
        <f t="array" ref="I15">IF(ISERR(SEARCH("=sum",F15)), BuildReportDescriptionText(B15),_xlfn.CONCAT(B15,"(",A15,")", ":",C15))</f>
        <v>Total number of children aged 24 - 59 months dewormed - Number of pregnant women De-wormed(NUT_DeW.2.):Nutrition</v>
      </c>
      <c r="J15" s="8" t="str" cm="1">
        <f t="array" ref="J15">IF(ISERR(SEARCH("=sum",F15)), BuildReportTitleText(B15),_xlfn.CONCAT(B15,":",C15))</f>
        <v>Total number of children aged 24 - 59 months dewormed - Number of pregnant women De-wormed</v>
      </c>
      <c r="K15" s="14" t="str">
        <f t="shared" si="0"/>
        <v>4.3 - Total number of children aged 24 - 59 months dewormed - Number of pregnant women De-wormed</v>
      </c>
      <c r="L15" s="10" t="str">
        <f t="shared" si="1"/>
        <v>4.3 - Total number of children aged 24 - 59 months dewormed - Number of pregnant women De-wormed(NUT_DeW.2.):Nutrition</v>
      </c>
    </row>
    <row r="16" spans="1:12" ht="30.75" thickBot="1" x14ac:dyDescent="0.3">
      <c r="A16" s="27" t="s">
        <v>1258</v>
      </c>
      <c r="B16" s="28" t="s">
        <v>1259</v>
      </c>
      <c r="C16" s="6" t="s">
        <v>1162</v>
      </c>
      <c r="D16" s="4"/>
      <c r="E16" s="8"/>
      <c r="F16" t="s">
        <v>1406</v>
      </c>
      <c r="G16" t="str">
        <f>VLOOKUP('working space'!A16,ordering!A:D,4,FALSE)</f>
        <v>5</v>
      </c>
      <c r="H16" t="s">
        <v>1406</v>
      </c>
      <c r="I16" s="8" t="str" cm="1">
        <f t="array" ref="I16">IF(ISERR(SEARCH("=sum",F16)), BuildReportDescriptionText(B16),_xlfn.CONCAT(B16,"(",A16,")", ":",C16))</f>
        <v>Total number of Pregnant women received IFA at least 90 plus(NUT_IFA.1):Nutrition</v>
      </c>
      <c r="J16" s="8" t="str" cm="1">
        <f t="array" ref="J16">IF(ISERR(SEARCH("=sum",F16)), BuildReportTitleText(B16),_xlfn.CONCAT(B16,":",C16))</f>
        <v>Total number of Pregnant women received IFA at least 90 plus:Nutrition</v>
      </c>
      <c r="K16" s="14" t="str">
        <f t="shared" si="0"/>
        <v>5 - Total number of Pregnant women received IFA at least 90 plus:Nutrition</v>
      </c>
      <c r="L16" s="10" t="str">
        <f t="shared" si="1"/>
        <v>5 - Total number of Pregnant women received IFA at least 90 plus(NUT_IFA.1):Nutrition</v>
      </c>
    </row>
    <row r="17" spans="1:12" ht="36.950000000000003" customHeight="1" thickBot="1" x14ac:dyDescent="0.3">
      <c r="A17" s="21" t="s">
        <v>1260</v>
      </c>
      <c r="B17" s="23" t="s">
        <v>1261</v>
      </c>
      <c r="C17" s="6" t="s">
        <v>1162</v>
      </c>
      <c r="D17" s="4"/>
      <c r="E17" s="8"/>
      <c r="F17" t="s">
        <v>752</v>
      </c>
      <c r="G17" t="str">
        <f>VLOOKUP('working space'!A17,ordering!A:D,4,FALSE)</f>
        <v>5.1</v>
      </c>
      <c r="H17" t="s">
        <v>752</v>
      </c>
      <c r="I17" s="8" t="str" cm="1">
        <f t="array" ref="I17">IF(ISERR(SEARCH("=sum",F17)), BuildReportDescriptionText(B17),_xlfn.CONCAT(B17,"(",A17,")", ":",C17))</f>
        <v>Total number of Pregnant women received IFA at least 90 plus - 10 - 14 years(NUT_IFA.1. 1):Nutrition</v>
      </c>
      <c r="J17" s="8" t="str" cm="1">
        <f t="array" ref="J17">IF(ISERR(SEARCH("=sum",F17)), BuildReportTitleText(B17),_xlfn.CONCAT(B17,":",C17))</f>
        <v>Total number of Pregnant women received IFA at least 90 plus - 10 - 14 years</v>
      </c>
      <c r="K17" s="14" t="str">
        <f t="shared" si="0"/>
        <v>5.1 - Total number of Pregnant women received IFA at least 90 plus - 10 - 14 years</v>
      </c>
      <c r="L17" s="10" t="str">
        <f t="shared" si="1"/>
        <v>5.1 - Total number of Pregnant women received IFA at least 90 plus - 10 - 14 years(NUT_IFA.1. 1):Nutrition</v>
      </c>
    </row>
    <row r="18" spans="1:12" ht="30.75" thickBot="1" x14ac:dyDescent="0.3">
      <c r="A18" s="21" t="s">
        <v>1262</v>
      </c>
      <c r="B18" s="23" t="s">
        <v>1263</v>
      </c>
      <c r="C18" s="6" t="s">
        <v>1162</v>
      </c>
      <c r="D18" s="4"/>
      <c r="E18" s="8"/>
      <c r="F18" t="s">
        <v>754</v>
      </c>
      <c r="G18" t="str">
        <f>VLOOKUP('working space'!A18,ordering!A:D,4,FALSE)</f>
        <v>5.2</v>
      </c>
      <c r="H18" t="s">
        <v>754</v>
      </c>
      <c r="I18" s="8" t="str" cm="1">
        <f t="array" ref="I18">IF(ISERR(SEARCH("=sum",F18)), BuildReportDescriptionText(B18),_xlfn.CONCAT(B18,"(",A18,")", ":",C18))</f>
        <v>Total number of Pregnant women received IFA at least 90 plus - 15 - 19 years(NUT_IFA.1. 2):Nutrition</v>
      </c>
      <c r="J18" s="8" t="str" cm="1">
        <f t="array" ref="J18">IF(ISERR(SEARCH("=sum",F18)), BuildReportTitleText(B18),_xlfn.CONCAT(B18,":",C18))</f>
        <v>Total number of Pregnant women received IFA at least 90 plus - 15 - 19 years</v>
      </c>
      <c r="K18" s="14" t="str">
        <f t="shared" si="0"/>
        <v>5.2 - Total number of Pregnant women received IFA at least 90 plus - 15 - 19 years</v>
      </c>
      <c r="L18" s="10" t="str">
        <f t="shared" si="1"/>
        <v>5.2 - Total number of Pregnant women received IFA at least 90 plus - 15 - 19 years(NUT_IFA.1. 2):Nutrition</v>
      </c>
    </row>
    <row r="19" spans="1:12" ht="36.950000000000003" customHeight="1" thickBot="1" x14ac:dyDescent="0.3">
      <c r="A19" s="21" t="s">
        <v>1264</v>
      </c>
      <c r="B19" s="23" t="s">
        <v>1265</v>
      </c>
      <c r="C19" s="6" t="s">
        <v>1162</v>
      </c>
      <c r="D19" s="4"/>
      <c r="E19" s="8"/>
      <c r="F19" t="s">
        <v>756</v>
      </c>
      <c r="G19" t="str">
        <f>VLOOKUP('working space'!A19,ordering!A:D,4,FALSE)</f>
        <v>5.3</v>
      </c>
      <c r="H19" t="s">
        <v>756</v>
      </c>
      <c r="I19" s="8" t="str" cm="1">
        <f t="array" ref="I19">IF(ISERR(SEARCH("=sum",F19)), BuildReportDescriptionText(B19),_xlfn.CONCAT(B19,"(",A19,")", ":",C19))</f>
        <v>Total number of Pregnant women received IFA at least 90 plus - &gt;= 20 years(NUT_IFA.1. 3):Nutrition</v>
      </c>
      <c r="J19" s="8" t="str" cm="1">
        <f t="array" ref="J19">IF(ISERR(SEARCH("=sum",F19)), BuildReportTitleText(B19),_xlfn.CONCAT(B19,":",C19))</f>
        <v>Total number of Pregnant women received IFA at least 90 plus - &gt;= 20 years</v>
      </c>
      <c r="K19" s="14" t="str">
        <f t="shared" si="0"/>
        <v>5.3 - Total number of Pregnant women received IFA at least 90 plus - &gt;= 20 years</v>
      </c>
      <c r="L19" s="10" t="str">
        <f t="shared" si="1"/>
        <v>5.3 - Total number of Pregnant women received IFA at least 90 plus - &gt;= 20 years(NUT_IFA.1. 3):Nutrition</v>
      </c>
    </row>
    <row r="20" spans="1:12" ht="36.950000000000003" customHeight="1" thickBot="1" x14ac:dyDescent="0.3">
      <c r="A20" s="27" t="s">
        <v>1266</v>
      </c>
      <c r="B20" s="28" t="s">
        <v>1267</v>
      </c>
      <c r="C20" s="6" t="s">
        <v>1162</v>
      </c>
      <c r="D20" s="4"/>
      <c r="E20" s="8"/>
      <c r="F20" t="s">
        <v>1407</v>
      </c>
      <c r="G20" t="str">
        <f>VLOOKUP('working space'!A20,ordering!A:D,4,FALSE)</f>
        <v>6</v>
      </c>
      <c r="H20" t="s">
        <v>1407</v>
      </c>
      <c r="I20" s="8" t="str" cm="1">
        <f t="array" ref="I20">IF(ISERR(SEARCH("=sum",F20)), BuildReportDescriptionText(B20),_xlfn.CONCAT(B20,"(",A20,")", ":",C20))</f>
        <v>Total number of PLW screened for acute malnutrition by MUAC status(NUT_PreSMN.1):Nutrition</v>
      </c>
      <c r="J20" s="8" t="str" cm="1">
        <f t="array" ref="J20">IF(ISERR(SEARCH("=sum",F20)), BuildReportTitleText(B20),_xlfn.CONCAT(B20,":",C20))</f>
        <v>Total number of PLW screened for acute malnutrition by MUAC status:Nutrition</v>
      </c>
      <c r="K20" s="14" t="str">
        <f t="shared" si="0"/>
        <v>6 - Total number of PLW screened for acute malnutrition by MUAC status:Nutrition</v>
      </c>
      <c r="L20" s="10" t="str">
        <f t="shared" si="1"/>
        <v>6 - Total number of PLW screened for acute malnutrition by MUAC status(NUT_PreSMN.1):Nutrition</v>
      </c>
    </row>
    <row r="21" spans="1:12" ht="36.950000000000003" customHeight="1" thickBot="1" x14ac:dyDescent="0.3">
      <c r="A21" s="21" t="s">
        <v>1268</v>
      </c>
      <c r="B21" s="23" t="s">
        <v>1269</v>
      </c>
      <c r="C21" s="6" t="s">
        <v>1162</v>
      </c>
      <c r="D21" s="4"/>
      <c r="E21" s="8"/>
      <c r="F21" t="s">
        <v>325</v>
      </c>
      <c r="G21" t="str">
        <f>VLOOKUP('working space'!A21,ordering!A:D,4,FALSE)</f>
        <v>6.1</v>
      </c>
      <c r="H21" t="s">
        <v>325</v>
      </c>
      <c r="I21" s="8" t="str" cm="1">
        <f t="array" ref="I21">IF(ISERR(SEARCH("=sum",F21)), BuildReportDescriptionText(B21),_xlfn.CONCAT(B21,"(",A21,")", ":",C21))</f>
        <v>Total number of PLW screened for acute malnutrition by MUAC status - MUAC &lt; 23 cm(NUT_PreSMN.1. 1):Nutrition</v>
      </c>
      <c r="J21" s="8" t="str" cm="1">
        <f t="array" ref="J21">IF(ISERR(SEARCH("=sum",F21)), BuildReportTitleText(B21),_xlfn.CONCAT(B21,":",C21))</f>
        <v>Total number of PLW screened for acute malnutrition by MUAC status - MUAC &lt; 23 cm</v>
      </c>
      <c r="K21" s="14" t="str">
        <f t="shared" si="0"/>
        <v>6.1 - Total number of PLW screened for acute malnutrition by MUAC status - MUAC &lt; 23 cm</v>
      </c>
      <c r="L21" s="10" t="str">
        <f t="shared" si="1"/>
        <v>6.1 - Total number of PLW screened for acute malnutrition by MUAC status - MUAC &lt; 23 cm(NUT_PreSMN.1. 1):Nutrition</v>
      </c>
    </row>
    <row r="22" spans="1:12" ht="36.950000000000003" customHeight="1" thickBot="1" x14ac:dyDescent="0.3">
      <c r="A22" s="21" t="s">
        <v>1270</v>
      </c>
      <c r="B22" s="23" t="s">
        <v>1271</v>
      </c>
      <c r="C22" s="6" t="s">
        <v>1162</v>
      </c>
      <c r="D22" s="4"/>
      <c r="E22" s="8"/>
      <c r="F22" t="s">
        <v>327</v>
      </c>
      <c r="G22" t="str">
        <f>VLOOKUP('working space'!A22,ordering!A:D,4,FALSE)</f>
        <v>6.2</v>
      </c>
      <c r="H22" t="s">
        <v>327</v>
      </c>
      <c r="I22" s="8" t="str" cm="1">
        <f t="array" ref="I22">IF(ISERR(SEARCH("=sum",F22)), BuildReportDescriptionText(B22),_xlfn.CONCAT(B22,"(",A22,")", ":",C22))</f>
        <v>Total number of PLW screened for acute malnutrition by MUAC status - MUAC &gt;= 23 cm(NUT_PreSMN.1. 2):Nutrition</v>
      </c>
      <c r="J22" s="8" t="str" cm="1">
        <f t="array" ref="J22">IF(ISERR(SEARCH("=sum",F22)), BuildReportTitleText(B22),_xlfn.CONCAT(B22,":",C22))</f>
        <v>Total number of PLW screened for acute malnutrition by MUAC status - MUAC &gt;= 23 cm</v>
      </c>
      <c r="K22" s="14" t="str">
        <f t="shared" si="0"/>
        <v>6.2 - Total number of PLW screened for acute malnutrition by MUAC status - MUAC &gt;= 23 cm</v>
      </c>
      <c r="L22" s="10" t="str">
        <f t="shared" si="1"/>
        <v>6.2 - Total number of PLW screened for acute malnutrition by MUAC status - MUAC &gt;= 23 cm(NUT_PreSMN.1. 2):Nutrition</v>
      </c>
    </row>
    <row r="23" spans="1:12" ht="30.75" thickBot="1" x14ac:dyDescent="0.3">
      <c r="A23" s="27" t="s">
        <v>1272</v>
      </c>
      <c r="B23" s="28" t="s">
        <v>1273</v>
      </c>
      <c r="C23" s="6" t="s">
        <v>1162</v>
      </c>
      <c r="D23" s="4"/>
      <c r="E23" s="8"/>
      <c r="F23" t="s">
        <v>1408</v>
      </c>
      <c r="G23" t="str">
        <f>VLOOKUP('working space'!A23,ordering!A:D,4,FALSE)</f>
        <v>7</v>
      </c>
      <c r="H23" t="s">
        <v>1408</v>
      </c>
      <c r="I23" s="8" t="str" cm="1">
        <f t="array" ref="I23">IF(ISERR(SEARCH("=sum",F23)), BuildReportDescriptionText(B23),_xlfn.CONCAT(B23,"(",A23,")", ":",C23))</f>
        <v>Total number of PLW screened for acute malnutrition By maternal status:(NUT_PreSMN.2):Nutrition</v>
      </c>
      <c r="J23" s="8" t="str" cm="1">
        <f t="array" ref="J23">IF(ISERR(SEARCH("=sum",F23)), BuildReportTitleText(B23),_xlfn.CONCAT(B23,":",C23))</f>
        <v>Total number of PLW screened for acute malnutrition By maternal status::Nutrition</v>
      </c>
      <c r="K23" s="14" t="str">
        <f t="shared" si="0"/>
        <v>7 - Total number of PLW screened for acute malnutrition By maternal status::Nutrition</v>
      </c>
      <c r="L23" s="10" t="str">
        <f t="shared" si="1"/>
        <v>7 - Total number of PLW screened for acute malnutrition By maternal status:(NUT_PreSMN.2):Nutrition</v>
      </c>
    </row>
    <row r="24" spans="1:12" ht="30.75" thickBot="1" x14ac:dyDescent="0.3">
      <c r="A24" s="21" t="s">
        <v>1274</v>
      </c>
      <c r="B24" s="23" t="s">
        <v>1275</v>
      </c>
      <c r="C24" s="6" t="s">
        <v>1162</v>
      </c>
      <c r="D24" s="4"/>
      <c r="E24" s="8"/>
      <c r="F24" t="s">
        <v>764</v>
      </c>
      <c r="G24" t="str">
        <f>VLOOKUP('working space'!A24,ordering!A:D,4,FALSE)</f>
        <v>7.1</v>
      </c>
      <c r="H24" t="s">
        <v>764</v>
      </c>
      <c r="I24" s="8" t="str" cm="1">
        <f t="array" ref="I24">IF(ISERR(SEARCH("=sum",F24)), BuildReportDescriptionText(B24),_xlfn.CONCAT(B24,"(",A24,")", ":",C24))</f>
        <v>Total number of PLW screened for acute malnutrition By maternal status: - Pregnant(NUT_PreSMN.2. 1):Nutrition</v>
      </c>
      <c r="J24" s="8" t="str" cm="1">
        <f t="array" ref="J24">IF(ISERR(SEARCH("=sum",F24)), BuildReportTitleText(B24),_xlfn.CONCAT(B24,":",C24))</f>
        <v>Total number of PLW screened for acute malnutrition By maternal status: - Pregnant</v>
      </c>
      <c r="K24" s="14" t="str">
        <f t="shared" si="0"/>
        <v>7.1 - Total number of PLW screened for acute malnutrition By maternal status: - Pregnant</v>
      </c>
      <c r="L24" s="10" t="str">
        <f t="shared" si="1"/>
        <v>7.1 - Total number of PLW screened for acute malnutrition By maternal status: - Pregnant(NUT_PreSMN.2. 1):Nutrition</v>
      </c>
    </row>
    <row r="25" spans="1:12" ht="36.950000000000003" customHeight="1" thickBot="1" x14ac:dyDescent="0.3">
      <c r="A25" s="21" t="s">
        <v>1276</v>
      </c>
      <c r="B25" s="23" t="s">
        <v>1277</v>
      </c>
      <c r="C25" s="6" t="s">
        <v>1162</v>
      </c>
      <c r="D25" s="4"/>
      <c r="E25" s="8"/>
      <c r="F25" t="s">
        <v>766</v>
      </c>
      <c r="G25" t="str">
        <f>VLOOKUP('working space'!A25,ordering!A:D,4,FALSE)</f>
        <v>7.2</v>
      </c>
      <c r="H25" t="s">
        <v>766</v>
      </c>
      <c r="I25" s="8" t="str" cm="1">
        <f t="array" ref="I25">IF(ISERR(SEARCH("=sum",F25)), BuildReportDescriptionText(B25),_xlfn.CONCAT(B25,"(",A25,")", ":",C25))</f>
        <v>Total number of PLW screened for acute malnutrition By maternal status: - lactating(NUT_PreSMN.2. 2):Nutrition</v>
      </c>
      <c r="J25" s="8" t="str" cm="1">
        <f t="array" ref="J25">IF(ISERR(SEARCH("=sum",F25)), BuildReportTitleText(B25),_xlfn.CONCAT(B25,":",C25))</f>
        <v>Total number of PLW screened for acute malnutrition By maternal status: - lactating</v>
      </c>
      <c r="K25" s="14" t="str">
        <f t="shared" si="0"/>
        <v>7.2 - Total number of PLW screened for acute malnutrition By maternal status: - lactating</v>
      </c>
      <c r="L25" s="10" t="str">
        <f t="shared" si="1"/>
        <v>7.2 - Total number of PLW screened for acute malnutrition By maternal status: - lactating(NUT_PreSMN.2. 2):Nutrition</v>
      </c>
    </row>
    <row r="26" spans="1:12" ht="31.5" thickBot="1" x14ac:dyDescent="0.35">
      <c r="A26" s="27" t="s">
        <v>1278</v>
      </c>
      <c r="B26" s="28" t="s">
        <v>1279</v>
      </c>
      <c r="C26" s="6" t="s">
        <v>1162</v>
      </c>
      <c r="D26" s="7"/>
      <c r="E26" s="8"/>
      <c r="F26" t="s">
        <v>1409</v>
      </c>
      <c r="G26" t="str">
        <f>VLOOKUP('working space'!A26,ordering!A:D,4,FALSE)</f>
        <v>8</v>
      </c>
      <c r="H26" t="s">
        <v>1409</v>
      </c>
      <c r="I26" s="8" t="str" cm="1">
        <f t="array" ref="I26">IF(ISERR(SEARCH("=sum",F26)), BuildReportDescriptionText(B26),_xlfn.CONCAT(B26,"(",A26,")", ":",C26))</f>
        <v>Total Number of children &lt; 5 yr screened for acute malnutrition(NUT_U5SMN):Nutrition</v>
      </c>
      <c r="J26" s="8" t="str" cm="1">
        <f t="array" ref="J26">IF(ISERR(SEARCH("=sum",F26)), BuildReportTitleText(B26),_xlfn.CONCAT(B26,":",C26))</f>
        <v>Total Number of children &lt; 5 yr screened for acute malnutrition:Nutrition</v>
      </c>
      <c r="K26" s="14" t="str">
        <f t="shared" si="0"/>
        <v>8 - Total Number of children &lt; 5 yr screened for acute malnutrition:Nutrition</v>
      </c>
      <c r="L26" s="10" t="str">
        <f t="shared" si="1"/>
        <v>8 - Total Number of children &lt; 5 yr screened for acute malnutrition(NUT_U5SMN):Nutrition</v>
      </c>
    </row>
    <row r="27" spans="1:12" ht="36.950000000000003" customHeight="1" thickBot="1" x14ac:dyDescent="0.35">
      <c r="A27" s="21" t="s">
        <v>1280</v>
      </c>
      <c r="B27" s="23" t="s">
        <v>1233</v>
      </c>
      <c r="C27" s="6" t="s">
        <v>1162</v>
      </c>
      <c r="D27" s="7"/>
      <c r="E27" s="8"/>
      <c r="F27" t="s">
        <v>780</v>
      </c>
      <c r="G27" t="str">
        <f>VLOOKUP('working space'!A27,ordering!A:D,4,FALSE)</f>
        <v>8.1</v>
      </c>
      <c r="H27" t="s">
        <v>780</v>
      </c>
      <c r="I27" s="8" t="str" cm="1">
        <f t="array" ref="I27">IF(ISERR(SEARCH("=sum",F27)), BuildReportDescriptionText(B27),_xlfn.CONCAT(B27,"(",A27,")", ":",C27))</f>
        <v>Total Number of children &lt; 5 yr screened for acute malnutrition - 0 - 5 months(NUT_U5SMN. 1):Nutrition</v>
      </c>
      <c r="J27" s="8" t="str" cm="1">
        <f t="array" ref="J27">IF(ISERR(SEARCH("=sum",F27)), BuildReportTitleText(B27),_xlfn.CONCAT(B27,":",C27))</f>
        <v>Total Number of children &lt; 5 yr screened for acute malnutrition - 0 - 5 months</v>
      </c>
      <c r="K27" s="14" t="str">
        <f t="shared" si="0"/>
        <v>8.1 - Total Number of children &lt; 5 yr screened for acute malnutrition - 0 - 5 months</v>
      </c>
      <c r="L27" s="10" t="str">
        <f t="shared" si="1"/>
        <v>8.1 - Total Number of children &lt; 5 yr screened for acute malnutrition - 0 - 5 months(NUT_U5SMN. 1):Nutrition</v>
      </c>
    </row>
    <row r="28" spans="1:12" ht="36.950000000000003" customHeight="1" thickBot="1" x14ac:dyDescent="0.35">
      <c r="A28" s="21" t="s">
        <v>1281</v>
      </c>
      <c r="B28" s="23" t="s">
        <v>1235</v>
      </c>
      <c r="C28" s="6" t="s">
        <v>1162</v>
      </c>
      <c r="D28" s="7"/>
      <c r="E28" s="8"/>
      <c r="F28" t="s">
        <v>782</v>
      </c>
      <c r="G28" t="str">
        <f>VLOOKUP('working space'!A28,ordering!A:D,4,FALSE)</f>
        <v>8.2</v>
      </c>
      <c r="H28" t="s">
        <v>782</v>
      </c>
      <c r="I28" s="8" t="str" cm="1">
        <f t="array" ref="I28">IF(ISERR(SEARCH("=sum",F28)), BuildReportDescriptionText(B28),_xlfn.CONCAT(B28,"(",A28,")", ":",C28))</f>
        <v>Total Number of children &lt; 5 yr screened for acute malnutrition - 6 - 23 months(NUT_U5SMN. 2):Nutrition</v>
      </c>
      <c r="J28" s="8" t="str" cm="1">
        <f t="array" ref="J28">IF(ISERR(SEARCH("=sum",F28)), BuildReportTitleText(B28),_xlfn.CONCAT(B28,":",C28))</f>
        <v>Total Number of children &lt; 5 yr screened for acute malnutrition - 6 - 23 months</v>
      </c>
      <c r="K28" s="14" t="str">
        <f t="shared" si="0"/>
        <v>8.2 - Total Number of children &lt; 5 yr screened for acute malnutrition - 6 - 23 months</v>
      </c>
      <c r="L28" s="10" t="str">
        <f t="shared" si="1"/>
        <v>8.2 - Total Number of children &lt; 5 yr screened for acute malnutrition - 6 - 23 months(NUT_U5SMN. 2):Nutrition</v>
      </c>
    </row>
    <row r="29" spans="1:12" ht="36.950000000000003" customHeight="1" thickBot="1" x14ac:dyDescent="0.35">
      <c r="A29" s="21" t="s">
        <v>1282</v>
      </c>
      <c r="B29" s="23" t="s">
        <v>1283</v>
      </c>
      <c r="C29" s="6" t="s">
        <v>1162</v>
      </c>
      <c r="D29" s="7"/>
      <c r="E29" s="8"/>
      <c r="F29" s="13" t="s">
        <v>772</v>
      </c>
      <c r="G29" t="str">
        <f>VLOOKUP('working space'!A29,ordering!A:D,4,FALSE)</f>
        <v>8.3</v>
      </c>
      <c r="H29" s="13" t="s">
        <v>772</v>
      </c>
      <c r="I29" s="8" t="str" cm="1">
        <f t="array" ref="I29">IF(ISERR(SEARCH("=sum",F29)), BuildReportDescriptionText(B29),_xlfn.CONCAT(B29,"(",A29,")", ":",C29))</f>
        <v>Total Number of children &lt; 5 yr screened for acute malnutrition - 24 - 59 Months(NUT_U5SMN. 3):Nutrition</v>
      </c>
      <c r="J29" s="8" t="str" cm="1">
        <f t="array" ref="J29">IF(ISERR(SEARCH("=sum",F29)), BuildReportTitleText(B29),_xlfn.CONCAT(B29,":",C29))</f>
        <v>Total Number of children &lt; 5 yr screened for acute malnutrition - 24 - 59 Months</v>
      </c>
      <c r="K29" s="14" t="str">
        <f t="shared" si="0"/>
        <v>8.3 - Total Number of children &lt; 5 yr screened for acute malnutrition - 24 - 59 Months</v>
      </c>
      <c r="L29" s="10" t="str">
        <f t="shared" si="1"/>
        <v>8.3 - Total Number of children &lt; 5 yr screened for acute malnutrition - 24 - 59 Months(NUT_U5SMN. 3):Nutrition</v>
      </c>
    </row>
    <row r="30" spans="1:12" ht="36.950000000000003" customHeight="1" thickBot="1" x14ac:dyDescent="0.35">
      <c r="A30" s="27" t="s">
        <v>1289</v>
      </c>
      <c r="B30" s="28" t="s">
        <v>1290</v>
      </c>
      <c r="C30" s="6" t="s">
        <v>1162</v>
      </c>
      <c r="D30" s="7"/>
      <c r="E30" s="8"/>
      <c r="F30" t="s">
        <v>1411</v>
      </c>
      <c r="G30" t="str">
        <f>VLOOKUP('working space'!A30,ordering!A:D,4,FALSE)</f>
        <v>9</v>
      </c>
      <c r="H30" t="s">
        <v>1411</v>
      </c>
      <c r="I30" s="8" t="str" cm="1">
        <f t="array" ref="I30">IF(ISERR(SEARCH("=sum",F30)), BuildReportDescriptionText(B30),_xlfn.CONCAT(B30,"(",A30,")", ":",C30))</f>
        <v>Number of &lt;5yr children screened and have severe acute malnutrition(NUT_U5SMN.SAM.1):Nutrition</v>
      </c>
      <c r="J30" s="8" t="str" cm="1">
        <f t="array" ref="J30">IF(ISERR(SEARCH("=sum",F30)), BuildReportTitleText(B30),_xlfn.CONCAT(B30,":",C30))</f>
        <v>Number of &lt;5yr children screened and have severe acute malnutrition:Nutrition</v>
      </c>
      <c r="K30" s="14" t="str">
        <f t="shared" si="0"/>
        <v>9 - Number of &lt;5yr children screened and have severe acute malnutrition:Nutrition</v>
      </c>
      <c r="L30" s="10" t="str">
        <f t="shared" si="1"/>
        <v>9 - Number of &lt;5yr children screened and have severe acute malnutrition(NUT_U5SMN.SAM.1):Nutrition</v>
      </c>
    </row>
    <row r="31" spans="1:12" ht="36.950000000000003" customHeight="1" thickBot="1" x14ac:dyDescent="0.3">
      <c r="A31" s="21" t="s">
        <v>1291</v>
      </c>
      <c r="B31" s="23" t="s">
        <v>1233</v>
      </c>
      <c r="C31" s="6" t="s">
        <v>1162</v>
      </c>
      <c r="D31" s="4"/>
      <c r="E31" s="8"/>
      <c r="F31" t="s">
        <v>302</v>
      </c>
      <c r="G31" t="str">
        <f>VLOOKUP('working space'!A31,ordering!A:D,4,FALSE)</f>
        <v>9.1</v>
      </c>
      <c r="H31" t="s">
        <v>302</v>
      </c>
      <c r="I31" s="8" t="str" cm="1">
        <f t="array" ref="I31">IF(ISERR(SEARCH("=sum",F31)), BuildReportDescriptionText(B31),_xlfn.CONCAT(B31,"(",A31,")", ":",C31))</f>
        <v>Number of &lt;5yr children screened and have severe acute malnutrition - 0 - 5 months(NUT_U5SMN.SAM.1. 1):Nutrition</v>
      </c>
      <c r="J31" s="8" t="str" cm="1">
        <f t="array" ref="J31">IF(ISERR(SEARCH("=sum",F31)), BuildReportTitleText(B31),_xlfn.CONCAT(B31,":",C31))</f>
        <v>Number of &lt;5yr children screened and have severe acute malnutrition - 0 - 5 months</v>
      </c>
      <c r="K31" s="14" t="str">
        <f t="shared" si="0"/>
        <v>9.1 - Number of &lt;5yr children screened and have severe acute malnutrition - 0 - 5 months</v>
      </c>
      <c r="L31" s="10" t="str">
        <f t="shared" si="1"/>
        <v>9.1 - Number of &lt;5yr children screened and have severe acute malnutrition - 0 - 5 months(NUT_U5SMN.SAM.1. 1):Nutrition</v>
      </c>
    </row>
    <row r="32" spans="1:12" ht="36.950000000000003" customHeight="1" thickBot="1" x14ac:dyDescent="0.3">
      <c r="A32" s="21" t="s">
        <v>1292</v>
      </c>
      <c r="B32" s="23" t="s">
        <v>1235</v>
      </c>
      <c r="C32" s="6" t="s">
        <v>1162</v>
      </c>
      <c r="D32" s="4"/>
      <c r="E32" s="8"/>
      <c r="F32" t="s">
        <v>304</v>
      </c>
      <c r="G32" t="str">
        <f>VLOOKUP('working space'!A32,ordering!A:D,4,FALSE)</f>
        <v>9.2</v>
      </c>
      <c r="H32" t="s">
        <v>304</v>
      </c>
      <c r="I32" s="8" t="str" cm="1">
        <f t="array" ref="I32">IF(ISERR(SEARCH("=sum",F32)), BuildReportDescriptionText(B32),_xlfn.CONCAT(B32,"(",A32,")", ":",C32))</f>
        <v>Number of &lt;5yr children screened and have severe acute malnutrition - 6 - 23 months(NUT_U5SMN.SAM.1. 2):Nutrition</v>
      </c>
      <c r="J32" s="8" t="str" cm="1">
        <f t="array" ref="J32">IF(ISERR(SEARCH("=sum",F32)), BuildReportTitleText(B32),_xlfn.CONCAT(B32,":",C32))</f>
        <v>Number of &lt;5yr children screened and have severe acute malnutrition - 6 - 23 months</v>
      </c>
      <c r="K32" s="14" t="str">
        <f t="shared" si="0"/>
        <v>9.2 - Number of &lt;5yr children screened and have severe acute malnutrition - 6 - 23 months</v>
      </c>
      <c r="L32" s="10" t="str">
        <f t="shared" si="1"/>
        <v>9.2 - Number of &lt;5yr children screened and have severe acute malnutrition - 6 - 23 months(NUT_U5SMN.SAM.1. 2):Nutrition</v>
      </c>
    </row>
    <row r="33" spans="1:12" ht="45.75" thickBot="1" x14ac:dyDescent="0.3">
      <c r="A33" s="21" t="s">
        <v>1293</v>
      </c>
      <c r="B33" s="23" t="s">
        <v>1283</v>
      </c>
      <c r="C33" s="6" t="s">
        <v>1162</v>
      </c>
      <c r="D33" s="4"/>
      <c r="E33" s="8"/>
      <c r="F33" t="s">
        <v>784</v>
      </c>
      <c r="G33" t="str">
        <f>VLOOKUP('working space'!A33,ordering!A:D,4,FALSE)</f>
        <v>9.3</v>
      </c>
      <c r="H33" t="s">
        <v>784</v>
      </c>
      <c r="I33" s="8" t="str" cm="1">
        <f t="array" ref="I33">IF(ISERR(SEARCH("=sum",F33)), BuildReportDescriptionText(B33),_xlfn.CONCAT(B33,"(",A33,")", ":",C33))</f>
        <v>Number of &lt;5yr children screened and have severe acute malnutrition - 24 - 59 Months(NUT_U5SMN.SAM.1. 3):Nutrition</v>
      </c>
      <c r="J33" s="8" t="str" cm="1">
        <f t="array" ref="J33">IF(ISERR(SEARCH("=sum",F33)), BuildReportTitleText(B33),_xlfn.CONCAT(B33,":",C33))</f>
        <v>Number of &lt;5yr children screened and have severe acute malnutrition - 24 - 59 Months</v>
      </c>
      <c r="K33" s="14" t="str">
        <f t="shared" si="0"/>
        <v>9.3 - Number of &lt;5yr children screened and have severe acute malnutrition - 24 - 59 Months</v>
      </c>
      <c r="L33" s="10" t="str">
        <f t="shared" si="1"/>
        <v>9.3 - Number of &lt;5yr children screened and have severe acute malnutrition - 24 - 59 Months(NUT_U5SMN.SAM.1. 3):Nutrition</v>
      </c>
    </row>
    <row r="34" spans="1:12" ht="36.950000000000003" customHeight="1" thickBot="1" x14ac:dyDescent="0.3">
      <c r="A34" s="52" t="s">
        <v>1294</v>
      </c>
      <c r="B34" s="53" t="s">
        <v>1307</v>
      </c>
      <c r="C34" s="6" t="s">
        <v>1162</v>
      </c>
      <c r="D34" s="4"/>
      <c r="E34" s="8"/>
      <c r="F34" t="s">
        <v>1412</v>
      </c>
      <c r="G34" t="str">
        <f>VLOOKUP('working space'!A34,ordering!A:D,4,FALSE)</f>
        <v>10</v>
      </c>
      <c r="H34" t="s">
        <v>1412</v>
      </c>
      <c r="I34" s="8" t="str" cm="1">
        <f t="array" ref="I34">IF(ISERR(SEARCH("=sum",F34)), BuildReportDescriptionText(B34),_xlfn.CONCAT(B34,"(",A34,")", ":",C34))</f>
        <v>Number of children less than 2 years weighted during GMP session(NTR_GMP):Nutrition</v>
      </c>
      <c r="J34" s="8" t="str" cm="1">
        <f t="array" ref="J34">IF(ISERR(SEARCH("=sum",F34)), BuildReportTitleText(B34),_xlfn.CONCAT(B34,":",C34))</f>
        <v>Number of children less than 2 years weighted during GMP session:Nutrition</v>
      </c>
      <c r="K34" s="14" t="str">
        <f t="shared" si="0"/>
        <v>10 - Number of children less than 2 years weighted during GMP session:Nutrition</v>
      </c>
      <c r="L34" s="10" t="str">
        <f t="shared" si="1"/>
        <v>10 - Number of children less than 2 years weighted during GMP session(NTR_GMP):Nutrition</v>
      </c>
    </row>
    <row r="35" spans="1:12" ht="30.75" thickBot="1" x14ac:dyDescent="0.3">
      <c r="A35" s="33" t="s">
        <v>1308</v>
      </c>
      <c r="B35" s="31" t="s">
        <v>1233</v>
      </c>
      <c r="C35" s="6" t="s">
        <v>1162</v>
      </c>
      <c r="D35" s="4"/>
      <c r="E35" s="8"/>
      <c r="F35" t="s">
        <v>726</v>
      </c>
      <c r="G35" t="str">
        <f>VLOOKUP('working space'!A35,ordering!A:D,4,FALSE)</f>
        <v>10.1</v>
      </c>
      <c r="H35" t="s">
        <v>726</v>
      </c>
      <c r="I35" s="8" t="str" cm="1">
        <f t="array" ref="I35">IF(ISERR(SEARCH("=sum",F35)), BuildReportDescriptionText(B35),_xlfn.CONCAT(B35,"(",A35,")", ":",C35))</f>
        <v>Number of children less than 2 years weighted during GMP session - 0 - 5 months(NTR_GMP. 1):Nutrition</v>
      </c>
      <c r="J35" s="8" t="str" cm="1">
        <f t="array" ref="J35">IF(ISERR(SEARCH("=sum",F35)), BuildReportTitleText(B35),_xlfn.CONCAT(B35,":",C35))</f>
        <v>Number of children less than 2 years weighted during GMP session - 0 - 5 months</v>
      </c>
      <c r="K35" s="14" t="str">
        <f t="shared" si="0"/>
        <v>10.1 - Number of children less than 2 years weighted during GMP session - 0 - 5 months</v>
      </c>
      <c r="L35" s="10" t="str">
        <f t="shared" si="1"/>
        <v>10.1 - Number of children less than 2 years weighted during GMP session - 0 - 5 months(NTR_GMP. 1):Nutrition</v>
      </c>
    </row>
    <row r="36" spans="1:12" ht="36.950000000000003" customHeight="1" thickBot="1" x14ac:dyDescent="0.3">
      <c r="A36" s="33" t="s">
        <v>1309</v>
      </c>
      <c r="B36" s="31" t="s">
        <v>1235</v>
      </c>
      <c r="C36" s="6" t="s">
        <v>1162</v>
      </c>
      <c r="D36" s="4"/>
      <c r="E36" s="8"/>
      <c r="F36" t="s">
        <v>728</v>
      </c>
      <c r="G36" t="str">
        <f>VLOOKUP('working space'!A36,ordering!A:D,4,FALSE)</f>
        <v>10.2</v>
      </c>
      <c r="H36" t="s">
        <v>728</v>
      </c>
      <c r="I36" s="8" t="str" cm="1">
        <f t="array" ref="I36">IF(ISERR(SEARCH("=sum",F36)), BuildReportDescriptionText(B36),_xlfn.CONCAT(B36,"(",A36,")", ":",C36))</f>
        <v>Number of children less than 2 years weighted during GMP session - 6 - 23 months(NTR_GMP. 2):Nutrition</v>
      </c>
      <c r="J36" s="8" t="str" cm="1">
        <f t="array" ref="J36">IF(ISERR(SEARCH("=sum",F36)), BuildReportTitleText(B36),_xlfn.CONCAT(B36,":",C36))</f>
        <v>Number of children less than 2 years weighted during GMP session - 6 - 23 months</v>
      </c>
      <c r="K36" s="14" t="str">
        <f t="shared" si="0"/>
        <v>10.2 - Number of children less than 2 years weighted during GMP session - 6 - 23 months</v>
      </c>
      <c r="L36" s="10" t="str">
        <f t="shared" si="1"/>
        <v>10.2 - Number of children less than 2 years weighted during GMP session - 6 - 23 months(NTR_GMP. 2):Nutrition</v>
      </c>
    </row>
    <row r="37" spans="1:12" ht="36.950000000000003" customHeight="1" thickBot="1" x14ac:dyDescent="0.3">
      <c r="A37" s="52" t="s">
        <v>1310</v>
      </c>
      <c r="B37" s="53" t="s">
        <v>1311</v>
      </c>
      <c r="C37" s="6" t="s">
        <v>1162</v>
      </c>
      <c r="D37" s="4"/>
      <c r="E37" s="8"/>
      <c r="F37" t="s">
        <v>1413</v>
      </c>
      <c r="G37" t="str">
        <f>VLOOKUP('working space'!A37,ordering!A:D,4,FALSE)</f>
        <v>11</v>
      </c>
      <c r="H37" t="s">
        <v>1413</v>
      </c>
      <c r="I37" s="8" t="str" cm="1">
        <f t="array" ref="I37">IF(ISERR(SEARCH("=sum",F37)), BuildReportDescriptionText(B37),_xlfn.CONCAT(B37,"(",A37,")", ":",C37))</f>
        <v>Number of weights recorded with moderate malnutrition by age (Z score b/n -2 &amp; -3): Moderate Underweight(NTR_GMP_MM):Nutrition</v>
      </c>
      <c r="J37" s="8" t="str" cm="1">
        <f t="array" ref="J37">IF(ISERR(SEARCH("=sum",F37)), BuildReportTitleText(B37),_xlfn.CONCAT(B37,":",C37))</f>
        <v>Number of weights recorded with moderate malnutrition by age (Z score b/n -2 &amp; -3): Moderate Underweight:Nutrition</v>
      </c>
      <c r="K37" s="14" t="str">
        <f t="shared" si="0"/>
        <v>11 - Number of weights recorded with moderate malnutrition by age (Z score b/n -2 &amp; -3): Moderate Underweight:Nutrition</v>
      </c>
      <c r="L37" s="10" t="str">
        <f t="shared" si="1"/>
        <v>11 - Number of weights recorded with moderate malnutrition by age (Z score b/n -2 &amp; -3): Moderate Underweight(NTR_GMP_MM):Nutrition</v>
      </c>
    </row>
    <row r="38" spans="1:12" ht="36.950000000000003" customHeight="1" thickBot="1" x14ac:dyDescent="0.3">
      <c r="A38" s="33" t="s">
        <v>1312</v>
      </c>
      <c r="B38" s="31" t="s">
        <v>1233</v>
      </c>
      <c r="C38" s="6" t="s">
        <v>1162</v>
      </c>
      <c r="D38" s="4"/>
      <c r="E38" s="8"/>
      <c r="F38" t="s">
        <v>730</v>
      </c>
      <c r="G38" t="str">
        <f>VLOOKUP('working space'!A38,ordering!A:D,4,FALSE)</f>
        <v>11.1</v>
      </c>
      <c r="H38" t="s">
        <v>730</v>
      </c>
      <c r="I38" s="8" t="str" cm="1">
        <f t="array" ref="I38">IF(ISERR(SEARCH("=sum",F38)), BuildReportDescriptionText(B38),_xlfn.CONCAT(B38,"(",A38,")", ":",C38))</f>
        <v>Number of weights recorded with moderate malnutrition by age (Z score b/n -2 &amp; -3): Moderate Underweight - 0 - 5 months(NTR_GMP_MM. 1):Nutrition</v>
      </c>
      <c r="J38" s="8" t="str" cm="1">
        <f t="array" ref="J38">IF(ISERR(SEARCH("=sum",F38)), BuildReportTitleText(B38),_xlfn.CONCAT(B38,":",C38))</f>
        <v>Number of weights recorded with moderate malnutrition by age (Z score b/n -2 &amp; -3): Moderate Underweight - 0 - 5 months</v>
      </c>
      <c r="K38" s="14" t="str">
        <f t="shared" si="0"/>
        <v>11.1 - Number of weights recorded with moderate malnutrition by age (Z score b/n -2 &amp; -3): Moderate Underweight - 0 - 5 months</v>
      </c>
      <c r="L38" s="10" t="str">
        <f t="shared" si="1"/>
        <v>11.1 - Number of weights recorded with moderate malnutrition by age (Z score b/n -2 &amp; -3): Moderate Underweight - 0 - 5 months(NTR_GMP_MM. 1):Nutrition</v>
      </c>
    </row>
    <row r="39" spans="1:12" ht="36.950000000000003" customHeight="1" thickBot="1" x14ac:dyDescent="0.3">
      <c r="A39" s="33" t="s">
        <v>1313</v>
      </c>
      <c r="B39" s="31" t="s">
        <v>1235</v>
      </c>
      <c r="C39" s="6" t="s">
        <v>1162</v>
      </c>
      <c r="D39" s="4"/>
      <c r="E39" s="8"/>
      <c r="F39" t="s">
        <v>732</v>
      </c>
      <c r="G39" t="str">
        <f>VLOOKUP('working space'!A39,ordering!A:D,4,FALSE)</f>
        <v>11.2</v>
      </c>
      <c r="H39" t="s">
        <v>732</v>
      </c>
      <c r="I39" s="8" t="str" cm="1">
        <f t="array" ref="I39">IF(ISERR(SEARCH("=sum",F39)), BuildReportDescriptionText(B39),_xlfn.CONCAT(B39,"(",A39,")", ":",C39))</f>
        <v>Number of weights recorded with moderate malnutrition by age (Z score b/n -2 &amp; -3): Moderate Underweight - 6 - 23 months(NTR_GMP_MM. 2):Nutrition</v>
      </c>
      <c r="J39" s="8" t="str" cm="1">
        <f t="array" ref="J39">IF(ISERR(SEARCH("=sum",F39)), BuildReportTitleText(B39),_xlfn.CONCAT(B39,":",C39))</f>
        <v>Number of weights recorded with moderate malnutrition by age (Z score b/n -2 &amp; -3): Moderate Underweight - 6 - 23 months</v>
      </c>
      <c r="K39" s="14" t="str">
        <f t="shared" si="0"/>
        <v>11.2 - Number of weights recorded with moderate malnutrition by age (Z score b/n -2 &amp; -3): Moderate Underweight - 6 - 23 months</v>
      </c>
      <c r="L39" s="10" t="str">
        <f t="shared" si="1"/>
        <v>11.2 - Number of weights recorded with moderate malnutrition by age (Z score b/n -2 &amp; -3): Moderate Underweight - 6 - 23 months(NTR_GMP_MM. 2):Nutrition</v>
      </c>
    </row>
    <row r="40" spans="1:12" ht="36.950000000000003" customHeight="1" thickBot="1" x14ac:dyDescent="0.35">
      <c r="A40" s="52" t="s">
        <v>1314</v>
      </c>
      <c r="B40" s="53" t="s">
        <v>1315</v>
      </c>
      <c r="C40" s="6" t="s">
        <v>1162</v>
      </c>
      <c r="D40" s="7"/>
      <c r="E40" s="8"/>
      <c r="F40" t="s">
        <v>1414</v>
      </c>
      <c r="G40" t="str">
        <f>VLOOKUP('working space'!A40,ordering!A:D,4,FALSE)</f>
        <v>12</v>
      </c>
      <c r="H40" t="s">
        <v>1414</v>
      </c>
      <c r="I40" s="8" t="str" cm="1">
        <f t="array" ref="I40">IF(ISERR(SEARCH("=sum",F40)), BuildReportDescriptionText(B40),_xlfn.CONCAT(B40,"(",A40,")", ":",C40))</f>
        <v>Number of weights recorded with severe malnutrition by age ( Z score below -3): Severely underweight(GMP_SM):Nutrition</v>
      </c>
      <c r="J40" s="8" t="str" cm="1">
        <f t="array" ref="J40">IF(ISERR(SEARCH("=sum",F40)), BuildReportTitleText(B40),_xlfn.CONCAT(B40,":",C40))</f>
        <v>Number of weights recorded with severe malnutrition by age ( Z score below -3): Severely underweight:Nutrition</v>
      </c>
      <c r="K40" s="14" t="str">
        <f t="shared" si="0"/>
        <v>12 - Number of weights recorded with severe malnutrition by age ( Z score below -3): Severely underweight:Nutrition</v>
      </c>
      <c r="L40" s="10" t="str">
        <f t="shared" si="1"/>
        <v>12 - Number of weights recorded with severe malnutrition by age ( Z score below -3): Severely underweight(GMP_SM):Nutrition</v>
      </c>
    </row>
    <row r="41" spans="1:12" ht="45.75" thickBot="1" x14ac:dyDescent="0.3">
      <c r="A41" s="33" t="s">
        <v>1316</v>
      </c>
      <c r="B41" s="31" t="s">
        <v>1233</v>
      </c>
      <c r="C41" s="6" t="s">
        <v>1162</v>
      </c>
      <c r="D41" s="4"/>
      <c r="E41" s="8"/>
      <c r="F41" t="s">
        <v>734</v>
      </c>
      <c r="G41" t="str">
        <f>VLOOKUP('working space'!A41,ordering!A:D,4,FALSE)</f>
        <v>12.1</v>
      </c>
      <c r="H41" t="s">
        <v>734</v>
      </c>
      <c r="I41" s="8" t="str" cm="1">
        <f t="array" ref="I41">IF(ISERR(SEARCH("=sum",F41)), BuildReportDescriptionText(B41),_xlfn.CONCAT(B41,"(",A41,")", ":",C41))</f>
        <v>Number of weights recorded with severe malnutrition by age ( Z score below -3): Severely underweight - 0 - 5 months(GMP_SM. 1):Nutrition</v>
      </c>
      <c r="J41" s="8" t="str" cm="1">
        <f t="array" ref="J41">IF(ISERR(SEARCH("=sum",F41)), BuildReportTitleText(B41),_xlfn.CONCAT(B41,":",C41))</f>
        <v>Number of weights recorded with severe malnutrition by age ( Z score below -3): Severely underweight - 0 - 5 months</v>
      </c>
      <c r="K41" s="14" t="str">
        <f t="shared" si="0"/>
        <v>12.1 - Number of weights recorded with severe malnutrition by age ( Z score below -3): Severely underweight - 0 - 5 months</v>
      </c>
      <c r="L41" s="10" t="str">
        <f t="shared" si="1"/>
        <v>12.1 - Number of weights recorded with severe malnutrition by age ( Z score below -3): Severely underweight - 0 - 5 months(GMP_SM. 1):Nutrition</v>
      </c>
    </row>
    <row r="42" spans="1:12" ht="36.950000000000003" customHeight="1" thickBot="1" x14ac:dyDescent="0.35">
      <c r="A42" s="33" t="s">
        <v>1317</v>
      </c>
      <c r="B42" s="31" t="s">
        <v>1235</v>
      </c>
      <c r="C42" s="6" t="s">
        <v>1162</v>
      </c>
      <c r="D42" s="7"/>
      <c r="E42" s="8"/>
      <c r="F42" t="s">
        <v>736</v>
      </c>
      <c r="G42" t="str">
        <f>VLOOKUP('working space'!A42,ordering!A:D,4,FALSE)</f>
        <v>12.2</v>
      </c>
      <c r="H42" t="s">
        <v>736</v>
      </c>
      <c r="I42" s="8" t="str" cm="1">
        <f t="array" ref="I42">IF(ISERR(SEARCH("=sum",F42)), BuildReportDescriptionText(B42),_xlfn.CONCAT(B42,"(",A42,")", ":",C42))</f>
        <v>Number of weights recorded with severe malnutrition by age ( Z score below -3): Severely underweight - 6 - 23 months(GMP_SM. 2):Nutrition</v>
      </c>
      <c r="J42" s="8" t="str" cm="1">
        <f t="array" ref="J42">IF(ISERR(SEARCH("=sum",F42)), BuildReportTitleText(B42),_xlfn.CONCAT(B42,":",C42))</f>
        <v>Number of weights recorded with severe malnutrition by age ( Z score below -3): Severely underweight - 6 - 23 months</v>
      </c>
      <c r="K42" s="14" t="str">
        <f t="shared" si="0"/>
        <v>12.2 - Number of weights recorded with severe malnutrition by age ( Z score below -3): Severely underweight - 6 - 23 months</v>
      </c>
      <c r="L42" s="10" t="str">
        <f t="shared" si="1"/>
        <v>12.2 - Number of weights recorded with severe malnutrition by age ( Z score below -3): Severely underweight - 6 - 23 months(GMP_SM. 2):Nutrition</v>
      </c>
    </row>
    <row r="43" spans="1:12" ht="36.950000000000003" customHeight="1" thickBot="1" x14ac:dyDescent="0.35">
      <c r="A43" s="38" t="s">
        <v>1318</v>
      </c>
      <c r="B43" s="54" t="s">
        <v>1319</v>
      </c>
      <c r="C43" s="6" t="s">
        <v>1162</v>
      </c>
      <c r="D43" s="7"/>
      <c r="E43" s="8"/>
      <c r="F43" t="s">
        <v>1415</v>
      </c>
      <c r="G43" t="str">
        <f>VLOOKUP('working space'!A43,ordering!A:D,4,FALSE)</f>
        <v>13</v>
      </c>
      <c r="H43" t="s">
        <v>1415</v>
      </c>
      <c r="I43" s="8" t="str" cm="1">
        <f t="array" ref="I43">IF(ISERR(SEARCH("=sum",F43)), BuildReportDescriptionText(B43),_xlfn.CONCAT(B43,"(",A43,")", ":",C43))</f>
        <v>Total number of children aged 6-59 months who received Vitamin A supplementation dis aggregated by age(NUT_VITA.1):Nutrition</v>
      </c>
      <c r="J43" s="8" t="str" cm="1">
        <f t="array" ref="J43">IF(ISERR(SEARCH("=sum",F43)), BuildReportTitleText(B43),_xlfn.CONCAT(B43,":",C43))</f>
        <v>Total number of children aged 6-59 months who received Vitamin A supplementation dis aggregated by age:Nutrition</v>
      </c>
      <c r="K43" s="14" t="str">
        <f t="shared" si="0"/>
        <v>13 - Total number of children aged 6-59 months who received Vitamin A supplementation dis aggregated by age:Nutrition</v>
      </c>
      <c r="L43" s="10" t="str">
        <f t="shared" si="1"/>
        <v>13 - Total number of children aged 6-59 months who received Vitamin A supplementation dis aggregated by age(NUT_VITA.1):Nutrition</v>
      </c>
    </row>
    <row r="44" spans="1:12" ht="36.950000000000003" customHeight="1" thickBot="1" x14ac:dyDescent="0.3">
      <c r="A44" s="30" t="s">
        <v>1320</v>
      </c>
      <c r="B44" s="30" t="s">
        <v>1321</v>
      </c>
      <c r="C44" s="6" t="s">
        <v>1162</v>
      </c>
      <c r="D44" s="4"/>
      <c r="E44" s="8"/>
      <c r="F44" t="s">
        <v>738</v>
      </c>
      <c r="G44" t="str">
        <f>VLOOKUP('working space'!A44,ordering!A:D,4,FALSE)</f>
        <v>13.1</v>
      </c>
      <c r="H44" t="s">
        <v>738</v>
      </c>
      <c r="I44" s="8" t="str" cm="1">
        <f t="array" ref="I44">IF(ISERR(SEARCH("=sum",F44)), BuildReportDescriptionText(B44),_xlfn.CONCAT(B44,"(",A44,")", ":",C44))</f>
        <v>Total number of children aged 6-59 months who received Vitamin A supplementation dis aggregated by age - Age: 6 – 11 months(NUT_VITA.1.1):Nutrition</v>
      </c>
      <c r="J44" s="8" t="str" cm="1">
        <f t="array" ref="J44">IF(ISERR(SEARCH("=sum",F44)), BuildReportTitleText(B44),_xlfn.CONCAT(B44,":",C44))</f>
        <v>Total number of children aged 6-59 months who received Vitamin A supplementation dis aggregated by age - Age: 6 – 11 months</v>
      </c>
      <c r="K44" s="14" t="str">
        <f t="shared" si="0"/>
        <v>13.1 - Total number of children aged 6-59 months who received Vitamin A supplementation dis aggregated by age - Age: 6 – 11 months</v>
      </c>
      <c r="L44" s="10" t="str">
        <f t="shared" si="1"/>
        <v>13.1 - Total number of children aged 6-59 months who received Vitamin A supplementation dis aggregated by age - Age: 6 – 11 months(NUT_VITA.1.1):Nutrition</v>
      </c>
    </row>
    <row r="45" spans="1:12" ht="36.950000000000003" customHeight="1" thickBot="1" x14ac:dyDescent="0.35">
      <c r="A45" s="30" t="s">
        <v>1322</v>
      </c>
      <c r="B45" s="30" t="s">
        <v>1323</v>
      </c>
      <c r="C45" s="6" t="s">
        <v>1162</v>
      </c>
      <c r="D45" s="7"/>
      <c r="E45" s="8"/>
      <c r="F45" t="s">
        <v>740</v>
      </c>
      <c r="G45" t="str">
        <f>VLOOKUP('working space'!A45,ordering!A:D,4,FALSE)</f>
        <v>13.2</v>
      </c>
      <c r="H45" t="s">
        <v>740</v>
      </c>
      <c r="I45" s="8" t="str" cm="1">
        <f t="array" ref="I45">IF(ISERR(SEARCH("=sum",F45)), BuildReportDescriptionText(B45),_xlfn.CONCAT(B45,"(",A45,")", ":",C45))</f>
        <v>Total number of children aged 6-59 months who received Vitamin A supplementation dis aggregated by age - Age: 12 – 59 Months(NUT_VITA.1.2):Nutrition</v>
      </c>
      <c r="J45" s="8" t="str" cm="1">
        <f t="array" ref="J45">IF(ISERR(SEARCH("=sum",F45)), BuildReportTitleText(B45),_xlfn.CONCAT(B45,":",C45))</f>
        <v>Total number of children aged 6-59 months who received Vitamin A supplementation dis aggregated by age - Age: 12 – 59 Months</v>
      </c>
      <c r="K45" s="14" t="str">
        <f t="shared" si="0"/>
        <v>13.2 - Total number of children aged 6-59 months who received Vitamin A supplementation dis aggregated by age - Age: 12 – 59 Months</v>
      </c>
      <c r="L45" s="10" t="str">
        <f t="shared" si="1"/>
        <v>13.2 - Total number of children aged 6-59 months who received Vitamin A supplementation dis aggregated by age - Age: 12 – 59 Months(NUT_VITA.1.2):Nutrition</v>
      </c>
    </row>
    <row r="46" spans="1:12" ht="46.5" thickBot="1" x14ac:dyDescent="0.35">
      <c r="A46" s="38" t="s">
        <v>1247</v>
      </c>
      <c r="B46" s="41" t="s">
        <v>1248</v>
      </c>
      <c r="C46" s="6" t="s">
        <v>1162</v>
      </c>
      <c r="D46" s="7"/>
      <c r="E46" s="8"/>
      <c r="F46" t="s">
        <v>1404</v>
      </c>
      <c r="G46" t="str">
        <f>VLOOKUP('working space'!A46,ordering!A:D,4,FALSE)</f>
        <v>14</v>
      </c>
      <c r="H46" t="s">
        <v>1404</v>
      </c>
      <c r="I46" s="8" t="str" cm="1">
        <f t="array" ref="I46">IF(ISERR(SEARCH("=sum",F46)), BuildReportDescriptionText(B46),_xlfn.CONCAT(B46,"(",A46,")", ":",C46))</f>
        <v>Total number of children aged 6-59 months who received Vitamin A supplementation dis aggregated by dose(NUT_VITA.2):Nutrition</v>
      </c>
      <c r="J46" s="8" t="str" cm="1">
        <f t="array" ref="J46">IF(ISERR(SEARCH("=sum",F46)), BuildReportTitleText(B46),_xlfn.CONCAT(B46,":",C46))</f>
        <v>Total number of children aged 6-59 months who received Vitamin A supplementation dis aggregated by dose:Nutrition</v>
      </c>
      <c r="K46" s="14" t="str">
        <f t="shared" si="0"/>
        <v>14 - Total number of children aged 6-59 months who received Vitamin A supplementation dis aggregated by dose:Nutrition</v>
      </c>
      <c r="L46" s="10" t="str">
        <f t="shared" si="1"/>
        <v>14 - Total number of children aged 6-59 months who received Vitamin A supplementation dis aggregated by dose(NUT_VITA.2):Nutrition</v>
      </c>
    </row>
    <row r="47" spans="1:12" ht="36.950000000000003" customHeight="1" thickBot="1" x14ac:dyDescent="0.35">
      <c r="A47" s="30" t="s">
        <v>1324</v>
      </c>
      <c r="B47" s="30" t="s">
        <v>1325</v>
      </c>
      <c r="C47" s="6" t="s">
        <v>1162</v>
      </c>
      <c r="D47" s="7"/>
      <c r="E47" s="8"/>
      <c r="F47" t="s">
        <v>742</v>
      </c>
      <c r="G47" t="str">
        <f>VLOOKUP('working space'!A47,ordering!A:D,4,FALSE)</f>
        <v>14.1</v>
      </c>
      <c r="H47" t="s">
        <v>742</v>
      </c>
      <c r="I47" s="8" t="str" cm="1">
        <f t="array" ref="I47">IF(ISERR(SEARCH("=sum",F47)), BuildReportDescriptionText(B47),_xlfn.CONCAT(B47,"(",A47,")", ":",C47))</f>
        <v>Total number of children aged 6-59 months who received Vitamin A supplementation dis aggregated by dose - :First dose(NUT_VITA.2.1):Nutrition</v>
      </c>
      <c r="J47" s="8" t="str" cm="1">
        <f t="array" ref="J47">IF(ISERR(SEARCH("=sum",F47)), BuildReportTitleText(B47),_xlfn.CONCAT(B47,":",C47))</f>
        <v>Total number of children aged 6-59 months who received Vitamin A supplementation dis aggregated by dose - :First dose</v>
      </c>
      <c r="K47" s="14" t="str">
        <f t="shared" si="0"/>
        <v>14.1 - Total number of children aged 6-59 months who received Vitamin A supplementation dis aggregated by dose - :First dose</v>
      </c>
      <c r="L47" s="10" t="str">
        <f t="shared" si="1"/>
        <v>14.1 - Total number of children aged 6-59 months who received Vitamin A supplementation dis aggregated by dose - :First dose(NUT_VITA.2.1):Nutrition</v>
      </c>
    </row>
    <row r="48" spans="1:12" ht="36.950000000000003" customHeight="1" thickBot="1" x14ac:dyDescent="0.3">
      <c r="A48" s="30" t="s">
        <v>1326</v>
      </c>
      <c r="B48" s="30" t="s">
        <v>1327</v>
      </c>
      <c r="C48" s="6" t="s">
        <v>1162</v>
      </c>
      <c r="D48" s="4"/>
      <c r="E48" s="8"/>
      <c r="F48" t="s">
        <v>744</v>
      </c>
      <c r="G48" t="str">
        <f>VLOOKUP('working space'!A48,ordering!A:D,4,FALSE)</f>
        <v>14.2</v>
      </c>
      <c r="H48" t="s">
        <v>744</v>
      </c>
      <c r="I48" s="8" t="str" cm="1">
        <f t="array" ref="I48">IF(ISERR(SEARCH("=sum",F48)), BuildReportDescriptionText(B48),_xlfn.CONCAT(B48,"(",A48,")", ":",C48))</f>
        <v>Total number of children aged 6-59 months who received Vitamin A supplementation dis aggregated by dose - :Second dose(NUT_VITA.2.2):Nutrition</v>
      </c>
      <c r="J48" s="8" t="str" cm="1">
        <f t="array" ref="J48">IF(ISERR(SEARCH("=sum",F48)), BuildReportTitleText(B48),_xlfn.CONCAT(B48,":",C48))</f>
        <v>Total number of children aged 6-59 months who received Vitamin A supplementation dis aggregated by dose - :Second dose</v>
      </c>
      <c r="K48" s="14" t="str">
        <f t="shared" si="0"/>
        <v>14.2 - Total number of children aged 6-59 months who received Vitamin A supplementation dis aggregated by dose - :Second dose</v>
      </c>
      <c r="L48" s="10" t="str">
        <f t="shared" si="1"/>
        <v>14.2 - Total number of children aged 6-59 months who received Vitamin A supplementation dis aggregated by dose - :Second dose(NUT_VITA.2.2):Nutrition</v>
      </c>
    </row>
    <row r="49" spans="1:12" ht="36.950000000000003" customHeight="1" thickBot="1" x14ac:dyDescent="0.35">
      <c r="A49" s="52" t="s">
        <v>758</v>
      </c>
      <c r="B49" s="53" t="s">
        <v>1328</v>
      </c>
      <c r="C49" s="6" t="s">
        <v>1162</v>
      </c>
      <c r="D49" s="7"/>
      <c r="E49" s="8"/>
      <c r="F49" t="s">
        <v>1416</v>
      </c>
      <c r="G49" t="str">
        <f>VLOOKUP('working space'!A49,ordering!A:D,4,FALSE)</f>
        <v>15</v>
      </c>
      <c r="H49" t="s">
        <v>1416</v>
      </c>
      <c r="I49" s="8" t="str" cm="1">
        <f t="array" ref="I49">IF(ISERR(SEARCH("=sum",F49)), BuildReportDescriptionText(B49),_xlfn.CONCAT(B49,"(",A49,")", ":",C49))</f>
        <v>Total number of PLW screened for acute malnutrition(PLW_S4AM):Nutrition</v>
      </c>
      <c r="J49" s="8" t="str" cm="1">
        <f t="array" ref="J49">IF(ISERR(SEARCH("=sum",F49)), BuildReportTitleText(B49),_xlfn.CONCAT(B49,":",C49))</f>
        <v>Total number of PLW screened for acute malnutrition:Nutrition</v>
      </c>
      <c r="K49" s="14" t="str">
        <f t="shared" si="0"/>
        <v>15 - Total number of PLW screened for acute malnutrition:Nutrition</v>
      </c>
      <c r="L49" s="10" t="str">
        <f t="shared" si="1"/>
        <v>15 - Total number of PLW screened for acute malnutrition(PLW_S4AM):Nutrition</v>
      </c>
    </row>
    <row r="50" spans="1:12" ht="31.5" thickBot="1" x14ac:dyDescent="0.35">
      <c r="A50" s="33" t="s">
        <v>1329</v>
      </c>
      <c r="B50" s="31" t="s">
        <v>1269</v>
      </c>
      <c r="C50" s="6" t="s">
        <v>1162</v>
      </c>
      <c r="D50" s="7"/>
      <c r="E50" s="8"/>
      <c r="F50" t="s">
        <v>760</v>
      </c>
      <c r="G50" t="str">
        <f>VLOOKUP('working space'!A50,ordering!A:D,4,FALSE)</f>
        <v>15.1</v>
      </c>
      <c r="H50" t="s">
        <v>760</v>
      </c>
      <c r="I50" s="8" t="str" cm="1">
        <f t="array" ref="I50">IF(ISERR(SEARCH("=sum",F50)), BuildReportDescriptionText(B50),_xlfn.CONCAT(B50,"(",A50,")", ":",C50))</f>
        <v>Total number of PLW screened for acute malnutrition - MUAC &lt; 23 cm(PLW_S4AM. 1):Nutrition</v>
      </c>
      <c r="J50" s="8" t="str" cm="1">
        <f t="array" ref="J50">IF(ISERR(SEARCH("=sum",F50)), BuildReportTitleText(B50),_xlfn.CONCAT(B50,":",C50))</f>
        <v>Total number of PLW screened for acute malnutrition - MUAC &lt; 23 cm</v>
      </c>
      <c r="K50" s="14" t="str">
        <f t="shared" si="0"/>
        <v>15.1 - Total number of PLW screened for acute malnutrition - MUAC &lt; 23 cm</v>
      </c>
      <c r="L50" s="10" t="str">
        <f t="shared" si="1"/>
        <v>15.1 - Total number of PLW screened for acute malnutrition - MUAC &lt; 23 cm(PLW_S4AM. 1):Nutrition</v>
      </c>
    </row>
    <row r="51" spans="1:12" ht="36.950000000000003" customHeight="1" thickBot="1" x14ac:dyDescent="0.35">
      <c r="A51" s="33" t="s">
        <v>1330</v>
      </c>
      <c r="B51" s="31" t="s">
        <v>1271</v>
      </c>
      <c r="C51" s="6" t="s">
        <v>1162</v>
      </c>
      <c r="D51" s="7"/>
      <c r="E51" s="8"/>
      <c r="F51" t="s">
        <v>762</v>
      </c>
      <c r="G51" t="str">
        <f>VLOOKUP('working space'!A51,ordering!A:D,4,FALSE)</f>
        <v>15.2</v>
      </c>
      <c r="H51" t="s">
        <v>762</v>
      </c>
      <c r="I51" s="8" t="str" cm="1">
        <f t="array" ref="I51">IF(ISERR(SEARCH("=sum",F51)), BuildReportDescriptionText(B51),_xlfn.CONCAT(B51,"(",A51,")", ":",C51))</f>
        <v>Total number of PLW screened for acute malnutrition - MUAC &gt;= 23 cm(PLW_S4AM. 2):Nutrition</v>
      </c>
      <c r="J51" s="8" t="str" cm="1">
        <f t="array" ref="J51">IF(ISERR(SEARCH("=sum",F51)), BuildReportTitleText(B51),_xlfn.CONCAT(B51,":",C51))</f>
        <v>Total number of PLW screened for acute malnutrition - MUAC &gt;= 23 cm</v>
      </c>
      <c r="K51" s="14" t="str">
        <f t="shared" si="0"/>
        <v>15.2 - Total number of PLW screened for acute malnutrition - MUAC &gt;= 23 cm</v>
      </c>
      <c r="L51" s="10" t="str">
        <f t="shared" si="1"/>
        <v>15.2 - Total number of PLW screened for acute malnutrition - MUAC &gt;= 23 cm(PLW_S4AM. 2):Nutrition</v>
      </c>
    </row>
    <row r="52" spans="1:12" ht="36.950000000000003" customHeight="1" thickBot="1" x14ac:dyDescent="0.3">
      <c r="A52" s="34" t="s">
        <v>1284</v>
      </c>
      <c r="B52" s="53" t="s">
        <v>1337</v>
      </c>
      <c r="C52" s="6" t="s">
        <v>1162</v>
      </c>
      <c r="D52" s="4"/>
      <c r="E52" s="8"/>
      <c r="F52" t="s">
        <v>1410</v>
      </c>
      <c r="G52" t="str">
        <f>VLOOKUP('working space'!A52,ordering!A:D,4,FALSE)</f>
        <v>15</v>
      </c>
      <c r="H52" t="s">
        <v>1410</v>
      </c>
      <c r="I52" s="8" t="str" cm="1">
        <f t="array" ref="I52">IF(ISERR(SEARCH("=sum",F52)), BuildReportDescriptionText(B52),_xlfn.CONCAT(B52,"(",A52,")", ":",C52))</f>
        <v>Number of children &lt;5 year screened and have moderate acute malnutrition(NUT_U5SMN.MAM.1):Nutrition</v>
      </c>
      <c r="J52" s="8" t="str" cm="1">
        <f t="array" ref="J52">IF(ISERR(SEARCH("=sum",F52)), BuildReportTitleText(B52),_xlfn.CONCAT(B52,":",C52))</f>
        <v>Number of children &lt;5 year screened and have moderate acute malnutrition:Nutrition</v>
      </c>
      <c r="K52" s="14" t="str">
        <f t="shared" si="0"/>
        <v>15 - Number of children &lt;5 year screened and have moderate acute malnutrition:Nutrition</v>
      </c>
      <c r="L52" s="10" t="str">
        <f t="shared" si="1"/>
        <v>15 - Number of children &lt;5 year screened and have moderate acute malnutrition(NUT_U5SMN.MAM.1):Nutrition</v>
      </c>
    </row>
    <row r="53" spans="1:12" ht="36.950000000000003" customHeight="1" thickBot="1" x14ac:dyDescent="0.3">
      <c r="A53" s="30" t="s">
        <v>1338</v>
      </c>
      <c r="B53" s="31" t="s">
        <v>1233</v>
      </c>
      <c r="C53" s="6" t="s">
        <v>1162</v>
      </c>
      <c r="D53" s="4"/>
      <c r="E53" s="8"/>
      <c r="F53" t="s">
        <v>774</v>
      </c>
      <c r="G53" t="str">
        <f>VLOOKUP('working space'!A53,ordering!A:D,4,FALSE)</f>
        <v>15.3</v>
      </c>
      <c r="H53" t="s">
        <v>774</v>
      </c>
      <c r="I53" s="8" t="str" cm="1">
        <f t="array" ref="I53">IF(ISERR(SEARCH("=sum",F53)), BuildReportDescriptionText(B53),_xlfn.CONCAT(B53,"(",A53,")", ":",C53))</f>
        <v>Number of children &lt;5 year screened and have moderate acute malnutrition - 0 - 5 months(NUT_U5SMN.MAM.1.1):Nutrition</v>
      </c>
      <c r="J53" s="8" t="str" cm="1">
        <f t="array" ref="J53">IF(ISERR(SEARCH("=sum",F53)), BuildReportTitleText(B53),_xlfn.CONCAT(B53,":",C53))</f>
        <v>Number of children &lt;5 year screened and have moderate acute malnutrition - 0 - 5 months</v>
      </c>
      <c r="K53" s="14" t="str">
        <f t="shared" si="0"/>
        <v>15.3 - Number of children &lt;5 year screened and have moderate acute malnutrition - 0 - 5 months</v>
      </c>
      <c r="L53" s="10" t="str">
        <f t="shared" si="1"/>
        <v>15.3 - Number of children &lt;5 year screened and have moderate acute malnutrition - 0 - 5 months(NUT_U5SMN.MAM.1.1):Nutrition</v>
      </c>
    </row>
    <row r="54" spans="1:12" ht="45.75" thickBot="1" x14ac:dyDescent="0.3">
      <c r="A54" s="30" t="s">
        <v>1339</v>
      </c>
      <c r="B54" s="31" t="s">
        <v>1235</v>
      </c>
      <c r="C54" s="6" t="s">
        <v>1162</v>
      </c>
      <c r="D54" s="4"/>
      <c r="E54" s="8"/>
      <c r="F54" t="s">
        <v>776</v>
      </c>
      <c r="G54" t="str">
        <f>VLOOKUP('working space'!A54,ordering!A:D,4,FALSE)</f>
        <v>15.4</v>
      </c>
      <c r="H54" t="s">
        <v>776</v>
      </c>
      <c r="I54" s="8" t="str" cm="1">
        <f t="array" ref="I54">IF(ISERR(SEARCH("=sum",F54)), BuildReportDescriptionText(B54),_xlfn.CONCAT(B54,"(",A54,")", ":",C54))</f>
        <v>Number of children &lt;5 year screened and have moderate acute malnutrition - 6 - 23 months(NUT_U5SMN.MAM.1.2):Nutrition</v>
      </c>
      <c r="J54" s="8" t="str" cm="1">
        <f t="array" ref="J54">IF(ISERR(SEARCH("=sum",F54)), BuildReportTitleText(B54),_xlfn.CONCAT(B54,":",C54))</f>
        <v>Number of children &lt;5 year screened and have moderate acute malnutrition - 6 - 23 months</v>
      </c>
      <c r="K54" s="14" t="str">
        <f t="shared" si="0"/>
        <v>15.4 - Number of children &lt;5 year screened and have moderate acute malnutrition - 6 - 23 months</v>
      </c>
      <c r="L54" s="10" t="str">
        <f t="shared" si="1"/>
        <v>15.4 - Number of children &lt;5 year screened and have moderate acute malnutrition - 6 - 23 months(NUT_U5SMN.MAM.1.2):Nutrition</v>
      </c>
    </row>
    <row r="55" spans="1:12" ht="46.5" thickBot="1" x14ac:dyDescent="0.35">
      <c r="A55" s="30" t="s">
        <v>1340</v>
      </c>
      <c r="B55" s="31" t="s">
        <v>1336</v>
      </c>
      <c r="C55" s="6" t="s">
        <v>1162</v>
      </c>
      <c r="D55" s="7"/>
      <c r="E55" s="8"/>
      <c r="F55" t="s">
        <v>778</v>
      </c>
      <c r="G55" t="str">
        <f>VLOOKUP('working space'!A55,ordering!A:D,4,FALSE)</f>
        <v>15.5</v>
      </c>
      <c r="H55" t="s">
        <v>778</v>
      </c>
      <c r="I55" s="8" t="str" cm="1">
        <f t="array" ref="I55">IF(ISERR(SEARCH("=sum",F55)), BuildReportDescriptionText(B55),_xlfn.CONCAT(B55,"(",A55,")", ":",C55))</f>
        <v>Number of children &lt;5 year screened and have moderate acute malnutrition - 24 - 59 months(NUT_U5SMN.MAM.1.3):Nutrition</v>
      </c>
      <c r="J55" s="8" t="str" cm="1">
        <f t="array" ref="J55">IF(ISERR(SEARCH("=sum",F55)), BuildReportTitleText(B55),_xlfn.CONCAT(B55,":",C55))</f>
        <v>Number of children &lt;5 year screened and have moderate acute malnutrition - 24 - 59 months</v>
      </c>
      <c r="K55" s="14" t="str">
        <f t="shared" si="0"/>
        <v>15.5 - Number of children &lt;5 year screened and have moderate acute malnutrition - 24 - 59 months</v>
      </c>
      <c r="L55" s="10" t="str">
        <f t="shared" si="1"/>
        <v>15.5 - Number of children &lt;5 year screened and have moderate acute malnutrition - 24 - 59 months(NUT_U5SMN.MAM.1.3):Nutrition</v>
      </c>
    </row>
    <row r="56" spans="1:12" ht="31.5" thickBot="1" x14ac:dyDescent="0.35">
      <c r="A56" s="38" t="s">
        <v>1341</v>
      </c>
      <c r="B56" s="39" t="s">
        <v>1342</v>
      </c>
      <c r="C56" s="6" t="s">
        <v>1162</v>
      </c>
      <c r="D56" s="7"/>
      <c r="E56" s="8"/>
      <c r="F56" t="s">
        <v>1417</v>
      </c>
      <c r="G56" t="str">
        <f>VLOOKUP('working space'!A56,ordering!A:D,4,FALSE)</f>
        <v>16</v>
      </c>
      <c r="H56" t="s">
        <v>1417</v>
      </c>
      <c r="I56" s="8" t="str" cm="1">
        <f t="array" ref="I56">IF(ISERR(SEARCH("=sum",F56)), BuildReportDescriptionText(B56),_xlfn.CONCAT(B56,"(",A56,")", ":",C56))</f>
        <v>Total SAM at the beginning of the month(NUT_TX-U5MN_SAM_Beging_SC_1):Nutrition</v>
      </c>
      <c r="J56" s="8" t="str" cm="1">
        <f t="array" ref="J56">IF(ISERR(SEARCH("=sum",F56)), BuildReportTitleText(B56),_xlfn.CONCAT(B56,":",C56))</f>
        <v>Total SAM at the beginning of the month:Nutrition</v>
      </c>
      <c r="K56" s="14" t="str">
        <f t="shared" si="0"/>
        <v>16 - Total SAM at the beginning of the month:Nutrition</v>
      </c>
      <c r="L56" s="10" t="str">
        <f t="shared" si="1"/>
        <v>16 - Total SAM at the beginning of the month(NUT_TX-U5MN_SAM_Beging_SC_1):Nutrition</v>
      </c>
    </row>
    <row r="57" spans="1:12" ht="36.950000000000003" customHeight="1" thickBot="1" x14ac:dyDescent="0.3">
      <c r="A57" s="30" t="s">
        <v>1343</v>
      </c>
      <c r="B57" s="30" t="s">
        <v>1344</v>
      </c>
      <c r="C57" s="6" t="s">
        <v>1162</v>
      </c>
      <c r="D57" s="4"/>
      <c r="E57" s="8"/>
      <c r="F57" t="s">
        <v>786</v>
      </c>
      <c r="G57" t="str">
        <f>VLOOKUP('working space'!A57,ordering!A:D,4,FALSE)</f>
        <v>16.1</v>
      </c>
      <c r="H57" t="s">
        <v>786</v>
      </c>
      <c r="I57" s="8" t="str" cm="1">
        <f t="array" ref="I57">IF(ISERR(SEARCH("=sum",F57)), BuildReportDescriptionText(B57),_xlfn.CONCAT(B57,"(",A57,")", ":",C57))</f>
        <v>Total SAM at the beginning of the month - Age: 0 – 5 Months(NUT_TX-U5MN_SAM_Beging_SC_1.1):Nutrition</v>
      </c>
      <c r="J57" s="8" t="str" cm="1">
        <f t="array" ref="J57">IF(ISERR(SEARCH("=sum",F57)), BuildReportTitleText(B57),_xlfn.CONCAT(B57,":",C57))</f>
        <v>Total SAM at the beginning of the month - Age: 0 – 5 Months</v>
      </c>
      <c r="K57" s="14" t="str">
        <f t="shared" si="0"/>
        <v>16.1 - Total SAM at the beginning of the month - Age: 0 – 5 Months</v>
      </c>
      <c r="L57" s="10" t="str">
        <f t="shared" si="1"/>
        <v>16.1 - Total SAM at the beginning of the month - Age: 0 – 5 Months(NUT_TX-U5MN_SAM_Beging_SC_1.1):Nutrition</v>
      </c>
    </row>
    <row r="58" spans="1:12" ht="36.950000000000003" customHeight="1" thickBot="1" x14ac:dyDescent="0.3">
      <c r="A58" s="30" t="s">
        <v>1345</v>
      </c>
      <c r="B58" s="30" t="s">
        <v>1346</v>
      </c>
      <c r="C58" s="6" t="s">
        <v>1162</v>
      </c>
      <c r="D58" s="4"/>
      <c r="E58" s="8"/>
      <c r="F58" t="s">
        <v>788</v>
      </c>
      <c r="G58" t="str">
        <f>VLOOKUP('working space'!A58,ordering!A:D,4,FALSE)</f>
        <v>16.2</v>
      </c>
      <c r="H58" t="s">
        <v>788</v>
      </c>
      <c r="I58" s="8" t="str" cm="1">
        <f t="array" ref="I58">IF(ISERR(SEARCH("=sum",F58)), BuildReportDescriptionText(B58),_xlfn.CONCAT(B58,"(",A58,")", ":",C58))</f>
        <v>Total SAM at the beginning of the month - Age: 6 - 23 Months(NUT_TX-U5MN_SAM_Beging_SC_1.2):Nutrition</v>
      </c>
      <c r="J58" s="8" t="str" cm="1">
        <f t="array" ref="J58">IF(ISERR(SEARCH("=sum",F58)), BuildReportTitleText(B58),_xlfn.CONCAT(B58,":",C58))</f>
        <v>Total SAM at the beginning of the month - Age: 6 - 23 Months</v>
      </c>
      <c r="K58" s="14" t="str">
        <f t="shared" si="0"/>
        <v>16.2 - Total SAM at the beginning of the month - Age: 6 - 23 Months</v>
      </c>
      <c r="L58" s="10" t="str">
        <f t="shared" si="1"/>
        <v>16.2 - Total SAM at the beginning of the month - Age: 6 - 23 Months(NUT_TX-U5MN_SAM_Beging_SC_1.2):Nutrition</v>
      </c>
    </row>
    <row r="59" spans="1:12" ht="34.5" thickBot="1" x14ac:dyDescent="0.3">
      <c r="A59" s="30" t="s">
        <v>1347</v>
      </c>
      <c r="B59" s="30" t="s">
        <v>1348</v>
      </c>
      <c r="C59" s="6" t="s">
        <v>1162</v>
      </c>
      <c r="D59" s="4"/>
      <c r="E59" s="8"/>
      <c r="F59" t="s">
        <v>790</v>
      </c>
      <c r="G59" t="str">
        <f>VLOOKUP('working space'!A59,ordering!A:D,4,FALSE)</f>
        <v>16.3</v>
      </c>
      <c r="H59" t="s">
        <v>790</v>
      </c>
      <c r="I59" s="8" t="str" cm="1">
        <f t="array" ref="I59">IF(ISERR(SEARCH("=sum",F59)), BuildReportDescriptionText(B59),_xlfn.CONCAT(B59,"(",A59,")", ":",C59))</f>
        <v>Total SAM at the beginning of the month - Age: 24 - 59 Months(NUT_TX-U5MN_SAM_Beging_SC_1.3):Nutrition</v>
      </c>
      <c r="J59" s="8" t="str" cm="1">
        <f t="array" ref="J59">IF(ISERR(SEARCH("=sum",F59)), BuildReportTitleText(B59),_xlfn.CONCAT(B59,":",C59))</f>
        <v>Total SAM at the beginning of the month - Age: 24 - 59 Months</v>
      </c>
      <c r="K59" s="14" t="str">
        <f t="shared" si="0"/>
        <v>16.3 - Total SAM at the beginning of the month - Age: 24 - 59 Months</v>
      </c>
      <c r="L59" s="10" t="str">
        <f t="shared" si="1"/>
        <v>16.3 - Total SAM at the beginning of the month - Age: 24 - 59 Months(NUT_TX-U5MN_SAM_Beging_SC_1.3):Nutrition</v>
      </c>
    </row>
    <row r="60" spans="1:12" ht="45.75" thickBot="1" x14ac:dyDescent="0.3">
      <c r="A60" s="38" t="s">
        <v>1349</v>
      </c>
      <c r="B60" s="39" t="s">
        <v>1350</v>
      </c>
      <c r="C60" s="6" t="s">
        <v>1162</v>
      </c>
      <c r="D60" s="4"/>
      <c r="E60" s="8"/>
      <c r="F60" t="s">
        <v>1418</v>
      </c>
      <c r="G60" t="str">
        <f>VLOOKUP('working space'!A60,ordering!A:D,4,FALSE)</f>
        <v>17</v>
      </c>
      <c r="H60" t="s">
        <v>1418</v>
      </c>
      <c r="I60" s="8" t="str" cm="1">
        <f t="array" ref="I60">IF(ISERR(SEARCH("=sum",F60)), BuildReportDescriptionText(B60),_xlfn.CONCAT(B60,"(",A60,")", ":",C60))</f>
        <v>Total number of children with SAM admitted to SC during the reporting period(new and re-admision)(NUT_TX-U5MN_SAM_Adt_SC_2):Nutrition</v>
      </c>
      <c r="J60" s="8" t="str" cm="1">
        <f t="array" ref="J60">IF(ISERR(SEARCH("=sum",F60)), BuildReportTitleText(B60),_xlfn.CONCAT(B60,":",C60))</f>
        <v>Total number of children with SAM admitted to SC during the reporting period(new and re-admision):Nutrition</v>
      </c>
      <c r="K60" s="14" t="str">
        <f t="shared" si="0"/>
        <v>17 - Total number of children with SAM admitted to SC during the reporting period(new and re-admision):Nutrition</v>
      </c>
      <c r="L60" s="10" t="str">
        <f t="shared" si="1"/>
        <v>17 - Total number of children with SAM admitted to SC during the reporting period(new and re-admision)(NUT_TX-U5MN_SAM_Adt_SC_2):Nutrition</v>
      </c>
    </row>
    <row r="61" spans="1:12" ht="45.75" thickBot="1" x14ac:dyDescent="0.3">
      <c r="A61" s="30" t="s">
        <v>1351</v>
      </c>
      <c r="B61" s="30" t="s">
        <v>1344</v>
      </c>
      <c r="C61" s="6" t="s">
        <v>1162</v>
      </c>
      <c r="D61" s="4"/>
      <c r="E61" s="8"/>
      <c r="F61" t="s">
        <v>792</v>
      </c>
      <c r="G61" t="str">
        <f>VLOOKUP('working space'!A61,ordering!A:D,4,FALSE)</f>
        <v>17.1</v>
      </c>
      <c r="H61" t="s">
        <v>792</v>
      </c>
      <c r="I61" s="8" t="str" cm="1">
        <f t="array" ref="I61">IF(ISERR(SEARCH("=sum",F61)), BuildReportDescriptionText(B61),_xlfn.CONCAT(B61,"(",A61,")", ":",C61))</f>
        <v>Total number of children with SAM admitted to SC during the reporting period(new and re-admision) - Age: 0 – 5 Months(NUT_TX-U5MN_SAM__Adt_SC_2.1):Nutrition</v>
      </c>
      <c r="J61" s="8" t="str" cm="1">
        <f t="array" ref="J61">IF(ISERR(SEARCH("=sum",F61)), BuildReportTitleText(B61),_xlfn.CONCAT(B61,":",C61))</f>
        <v>Total number of children with SAM admitted to SC during the reporting period(new and re-admision) - Age: 0 – 5 Months</v>
      </c>
      <c r="K61" s="14" t="str">
        <f t="shared" si="0"/>
        <v>17.1 - Total number of children with SAM admitted to SC during the reporting period(new and re-admision) - Age: 0 – 5 Months</v>
      </c>
      <c r="L61" s="10" t="str">
        <f t="shared" si="1"/>
        <v>17.1 - Total number of children with SAM admitted to SC during the reporting period(new and re-admision) - Age: 0 – 5 Months(NUT_TX-U5MN_SAM__Adt_SC_2.1):Nutrition</v>
      </c>
    </row>
    <row r="62" spans="1:12" ht="36.950000000000003" customHeight="1" thickBot="1" x14ac:dyDescent="0.3">
      <c r="A62" s="30" t="s">
        <v>1352</v>
      </c>
      <c r="B62" s="30" t="s">
        <v>1346</v>
      </c>
      <c r="C62" s="6" t="s">
        <v>1162</v>
      </c>
      <c r="D62" s="4"/>
      <c r="E62" s="8"/>
      <c r="F62" t="s">
        <v>794</v>
      </c>
      <c r="G62" t="str">
        <f>VLOOKUP('working space'!A62,ordering!A:D,4,FALSE)</f>
        <v>17.2</v>
      </c>
      <c r="H62" t="s">
        <v>794</v>
      </c>
      <c r="I62" s="8" t="str" cm="1">
        <f t="array" ref="I62">IF(ISERR(SEARCH("=sum",F62)), BuildReportDescriptionText(B62),_xlfn.CONCAT(B62,"(",A62,")", ":",C62))</f>
        <v>Total number of children with SAM admitted to SC during the reporting period(new and re-admision) - Age: 6 - 23 Months(NUT_TX-U5MN_SAM__Adt_SC_2.2):Nutrition</v>
      </c>
      <c r="J62" s="8" t="str" cm="1">
        <f t="array" ref="J62">IF(ISERR(SEARCH("=sum",F62)), BuildReportTitleText(B62),_xlfn.CONCAT(B62,":",C62))</f>
        <v>Total number of children with SAM admitted to SC during the reporting period(new and re-admision) - Age: 6 - 23 Months</v>
      </c>
      <c r="K62" s="14" t="str">
        <f t="shared" si="0"/>
        <v>17.2 - Total number of children with SAM admitted to SC during the reporting period(new and re-admision) - Age: 6 - 23 Months</v>
      </c>
      <c r="L62" s="10" t="str">
        <f t="shared" si="1"/>
        <v>17.2 - Total number of children with SAM admitted to SC during the reporting period(new and re-admision) - Age: 6 - 23 Months(NUT_TX-U5MN_SAM__Adt_SC_2.2):Nutrition</v>
      </c>
    </row>
    <row r="63" spans="1:12" ht="45.75" thickBot="1" x14ac:dyDescent="0.3">
      <c r="A63" s="30" t="s">
        <v>1353</v>
      </c>
      <c r="B63" s="30" t="s">
        <v>1348</v>
      </c>
      <c r="C63" s="6" t="s">
        <v>1162</v>
      </c>
      <c r="D63" s="4"/>
      <c r="E63" s="8"/>
      <c r="F63" t="s">
        <v>796</v>
      </c>
      <c r="G63" t="str">
        <f>VLOOKUP('working space'!A63,ordering!A:D,4,FALSE)</f>
        <v>17.3</v>
      </c>
      <c r="H63" t="s">
        <v>796</v>
      </c>
      <c r="I63" s="8" t="str" cm="1">
        <f t="array" ref="I63">IF(ISERR(SEARCH("=sum",F63)), BuildReportDescriptionText(B63),_xlfn.CONCAT(B63,"(",A63,")", ":",C63))</f>
        <v>Total number of children with SAM admitted to SC during the reporting period(new and re-admision) - Age: 24 - 59 Months(NUT_TX-U5MN_SAM__Adt_SC_2.3):Nutrition</v>
      </c>
      <c r="J63" s="8" t="str" cm="1">
        <f t="array" ref="J63">IF(ISERR(SEARCH("=sum",F63)), BuildReportTitleText(B63),_xlfn.CONCAT(B63,":",C63))</f>
        <v>Total number of children with SAM admitted to SC during the reporting period(new and re-admision) - Age: 24 - 59 Months</v>
      </c>
      <c r="K63" s="14" t="str">
        <f t="shared" si="0"/>
        <v>17.3 - Total number of children with SAM admitted to SC during the reporting period(new and re-admision) - Age: 24 - 59 Months</v>
      </c>
      <c r="L63" s="10" t="str">
        <f t="shared" si="1"/>
        <v>17.3 - Total number of children with SAM admitted to SC during the reporting period(new and re-admision) - Age: 24 - 59 Months(NUT_TX-U5MN_SAM__Adt_SC_2.3):Nutrition</v>
      </c>
    </row>
    <row r="64" spans="1:12" ht="30.75" thickBot="1" x14ac:dyDescent="0.3">
      <c r="A64" s="38" t="s">
        <v>1354</v>
      </c>
      <c r="B64" s="39" t="s">
        <v>1355</v>
      </c>
      <c r="C64" s="6" t="s">
        <v>1162</v>
      </c>
      <c r="D64" s="4"/>
      <c r="E64" s="8"/>
      <c r="F64" t="s">
        <v>1419</v>
      </c>
      <c r="G64" t="str">
        <f>VLOOKUP('working space'!A64,ordering!A:D,4,FALSE)</f>
        <v>18</v>
      </c>
      <c r="H64" t="s">
        <v>1419</v>
      </c>
      <c r="I64" s="8" t="str" cm="1">
        <f t="array" ref="I64">IF(ISERR(SEARCH("=sum",F64)), BuildReportDescriptionText(B64),_xlfn.CONCAT(B64,"(",A64,")", ":",C64))</f>
        <v>Number of children stablized(NUT_TX-U5MN_SAM_Stab_SC_3):Nutrition</v>
      </c>
      <c r="J64" s="8" t="str" cm="1">
        <f t="array" ref="J64">IF(ISERR(SEARCH("=sum",F64)), BuildReportTitleText(B64),_xlfn.CONCAT(B64,":",C64))</f>
        <v>Number of children stablized:Nutrition</v>
      </c>
      <c r="K64" s="14" t="str">
        <f t="shared" si="0"/>
        <v>18 - Number of children stablized:Nutrition</v>
      </c>
      <c r="L64" s="10" t="str">
        <f t="shared" si="1"/>
        <v>18 - Number of children stablized(NUT_TX-U5MN_SAM_Stab_SC_3):Nutrition</v>
      </c>
    </row>
    <row r="65" spans="1:12" ht="34.5" thickBot="1" x14ac:dyDescent="0.3">
      <c r="A65" s="30" t="s">
        <v>1356</v>
      </c>
      <c r="B65" s="30" t="s">
        <v>1344</v>
      </c>
      <c r="C65" s="6" t="s">
        <v>1162</v>
      </c>
      <c r="D65" s="4"/>
      <c r="E65" s="8"/>
      <c r="F65" t="s">
        <v>798</v>
      </c>
      <c r="G65" t="str">
        <f>VLOOKUP('working space'!A65,ordering!A:D,4,FALSE)</f>
        <v>18.1</v>
      </c>
      <c r="H65" t="s">
        <v>798</v>
      </c>
      <c r="I65" s="8" t="str" cm="1">
        <f t="array" ref="I65">IF(ISERR(SEARCH("=sum",F65)), BuildReportDescriptionText(B65),_xlfn.CONCAT(B65,"(",A65,")", ":",C65))</f>
        <v>Number of children stablized - Age: 0 – 5 Months(NUT_TX-U5MN_SAM_Stab_SC_3.1):Nutrition</v>
      </c>
      <c r="J65" s="8" t="str" cm="1">
        <f t="array" ref="J65">IF(ISERR(SEARCH("=sum",F65)), BuildReportTitleText(B65),_xlfn.CONCAT(B65,":",C65))</f>
        <v>Number of children stablized - Age: 0 – 5 Months</v>
      </c>
      <c r="K65" s="14" t="str">
        <f t="shared" si="0"/>
        <v>18.1 - Number of children stablized - Age: 0 – 5 Months</v>
      </c>
      <c r="L65" s="10" t="str">
        <f t="shared" si="1"/>
        <v>18.1 - Number of children stablized - Age: 0 – 5 Months(NUT_TX-U5MN_SAM_Stab_SC_3.1):Nutrition</v>
      </c>
    </row>
    <row r="66" spans="1:12" ht="34.5" thickBot="1" x14ac:dyDescent="0.3">
      <c r="A66" s="30" t="s">
        <v>1357</v>
      </c>
      <c r="B66" s="30" t="s">
        <v>1346</v>
      </c>
      <c r="C66" s="6" t="s">
        <v>1162</v>
      </c>
      <c r="D66" s="4"/>
      <c r="E66" s="8"/>
      <c r="F66" t="s">
        <v>800</v>
      </c>
      <c r="G66" t="str">
        <f>VLOOKUP('working space'!A66,ordering!A:D,4,FALSE)</f>
        <v>18.2</v>
      </c>
      <c r="H66" t="s">
        <v>800</v>
      </c>
      <c r="I66" s="8" t="str" cm="1">
        <f t="array" ref="I66">IF(ISERR(SEARCH("=sum",F66)), BuildReportDescriptionText(B66),_xlfn.CONCAT(B66,"(",A66,")", ":",C66))</f>
        <v>Number of children stablized - Age: 6 - 23 Months(NUT_TX-U5MN_SAM_Stab_SC_3.2):Nutrition</v>
      </c>
      <c r="J66" s="8" t="str" cm="1">
        <f t="array" ref="J66">IF(ISERR(SEARCH("=sum",F66)), BuildReportTitleText(B66),_xlfn.CONCAT(B66,":",C66))</f>
        <v>Number of children stablized - Age: 6 - 23 Months</v>
      </c>
      <c r="K66" s="14" t="str">
        <f t="shared" si="0"/>
        <v>18.2 - Number of children stablized - Age: 6 - 23 Months</v>
      </c>
      <c r="L66" s="10" t="str">
        <f t="shared" si="1"/>
        <v>18.2 - Number of children stablized - Age: 6 - 23 Months(NUT_TX-U5MN_SAM_Stab_SC_3.2):Nutrition</v>
      </c>
    </row>
    <row r="67" spans="1:12" ht="34.5" thickBot="1" x14ac:dyDescent="0.35">
      <c r="A67" s="30" t="s">
        <v>1358</v>
      </c>
      <c r="B67" s="30" t="s">
        <v>1348</v>
      </c>
      <c r="C67" s="6" t="s">
        <v>1162</v>
      </c>
      <c r="D67" s="7"/>
      <c r="E67" s="8"/>
      <c r="F67" t="s">
        <v>802</v>
      </c>
      <c r="G67" t="str">
        <f>VLOOKUP('working space'!A67,ordering!A:D,4,FALSE)</f>
        <v>18.3</v>
      </c>
      <c r="H67" t="s">
        <v>802</v>
      </c>
      <c r="I67" s="8" t="str" cm="1">
        <f t="array" ref="I67">IF(ISERR(SEARCH("=sum",F67)), BuildReportDescriptionText(B67),_xlfn.CONCAT(B67,"(",A67,")", ":",C67))</f>
        <v>Number of children stablized - Age: 24 - 59 Months(NUT_TX-U5MN_SAM_Stab_SC_3.3):Nutrition</v>
      </c>
      <c r="J67" s="8" t="str" cm="1">
        <f t="array" ref="J67">IF(ISERR(SEARCH("=sum",F67)), BuildReportTitleText(B67),_xlfn.CONCAT(B67,":",C67))</f>
        <v>Number of children stablized - Age: 24 - 59 Months</v>
      </c>
      <c r="K67" s="14" t="str">
        <f t="shared" si="0"/>
        <v>18.3 - Number of children stablized - Age: 24 - 59 Months</v>
      </c>
      <c r="L67" s="10" t="str">
        <f t="shared" si="1"/>
        <v>18.3 - Number of children stablized - Age: 24 - 59 Months(NUT_TX-U5MN_SAM_Stab_SC_3.3):Nutrition</v>
      </c>
    </row>
    <row r="68" spans="1:12" ht="36.950000000000003" customHeight="1" thickBot="1" x14ac:dyDescent="0.35">
      <c r="A68" s="38" t="s">
        <v>1359</v>
      </c>
      <c r="B68" s="41" t="s">
        <v>1360</v>
      </c>
      <c r="C68" s="6" t="s">
        <v>1162</v>
      </c>
      <c r="D68" s="7"/>
      <c r="E68" s="8"/>
      <c r="F68" t="s">
        <v>1420</v>
      </c>
      <c r="G68" t="str">
        <f>VLOOKUP('working space'!A68,ordering!A:D,4,FALSE)</f>
        <v>19</v>
      </c>
      <c r="H68" t="s">
        <v>1420</v>
      </c>
      <c r="I68" s="8" t="str" cm="1">
        <f t="array" ref="I68">IF(ISERR(SEARCH("=sum",F68)), BuildReportDescriptionText(B68),_xlfn.CONCAT(B68,"(",A68,")", ":",C68))</f>
        <v>Number of children cured(NUT_TX-U5MN_SAM_Cur_SC_ 4):Nutrition</v>
      </c>
      <c r="J68" s="8" t="str" cm="1">
        <f t="array" ref="J68">IF(ISERR(SEARCH("=sum",F68)), BuildReportTitleText(B68),_xlfn.CONCAT(B68,":",C68))</f>
        <v>Number of children cured:Nutrition</v>
      </c>
      <c r="K68" s="14" t="str">
        <f t="shared" ref="K68:K117" si="2">_xlfn.CONCAT(G68," - ",J68)</f>
        <v>19 - Number of children cured:Nutrition</v>
      </c>
      <c r="L68" s="10" t="str">
        <f t="shared" ref="L68:L117" si="3">_xlfn.CONCAT(G68," - ",I68)</f>
        <v>19 - Number of children cured(NUT_TX-U5MN_SAM_Cur_SC_ 4):Nutrition</v>
      </c>
    </row>
    <row r="69" spans="1:12" ht="36.950000000000003" customHeight="1" thickBot="1" x14ac:dyDescent="0.3">
      <c r="A69" s="30" t="s">
        <v>1361</v>
      </c>
      <c r="B69" s="37" t="s">
        <v>1344</v>
      </c>
      <c r="C69" s="6" t="s">
        <v>1162</v>
      </c>
      <c r="D69" s="4"/>
      <c r="E69" s="8"/>
      <c r="F69" t="s">
        <v>804</v>
      </c>
      <c r="G69" t="str">
        <f>VLOOKUP('working space'!A69,ordering!A:D,4,FALSE)</f>
        <v>19.1</v>
      </c>
      <c r="H69" t="s">
        <v>804</v>
      </c>
      <c r="I69" s="8" t="str" cm="1">
        <f t="array" ref="I69">IF(ISERR(SEARCH("=sum",F69)), BuildReportDescriptionText(B69),_xlfn.CONCAT(B69,"(",A69,")", ":",C69))</f>
        <v>Number of children cured - Age: 0 – 5 Months(NUT_TX-U5MN_SAM_Cur_SC_ 4.1):Nutrition</v>
      </c>
      <c r="J69" s="8" t="str" cm="1">
        <f t="array" ref="J69">IF(ISERR(SEARCH("=sum",F69)), BuildReportTitleText(B69),_xlfn.CONCAT(B69,":",C69))</f>
        <v>Number of children cured - Age: 0 – 5 Months</v>
      </c>
      <c r="K69" s="14" t="str">
        <f t="shared" si="2"/>
        <v>19.1 - Number of children cured - Age: 0 – 5 Months</v>
      </c>
      <c r="L69" s="10" t="str">
        <f t="shared" si="3"/>
        <v>19.1 - Number of children cured - Age: 0 – 5 Months(NUT_TX-U5MN_SAM_Cur_SC_ 4.1):Nutrition</v>
      </c>
    </row>
    <row r="70" spans="1:12" ht="30.75" thickBot="1" x14ac:dyDescent="0.3">
      <c r="A70" s="30" t="s">
        <v>1362</v>
      </c>
      <c r="B70" s="37" t="s">
        <v>1346</v>
      </c>
      <c r="C70" s="6" t="s">
        <v>1162</v>
      </c>
      <c r="D70" s="4"/>
      <c r="E70" s="8"/>
      <c r="F70" t="s">
        <v>806</v>
      </c>
      <c r="G70" t="str">
        <f>VLOOKUP('working space'!A70,ordering!A:D,4,FALSE)</f>
        <v>19.2</v>
      </c>
      <c r="H70" t="s">
        <v>806</v>
      </c>
      <c r="I70" s="8" t="str" cm="1">
        <f t="array" ref="I70">IF(ISERR(SEARCH("=sum",F70)), BuildReportDescriptionText(B70),_xlfn.CONCAT(B70,"(",A70,")", ":",C70))</f>
        <v>Number of children cured - Age: 6 - 23 Months(NUT_TX-U5MN_SAM_Cur_SC_ 4.2):Nutrition</v>
      </c>
      <c r="J70" s="8" t="str" cm="1">
        <f t="array" ref="J70">IF(ISERR(SEARCH("=sum",F70)), BuildReportTitleText(B70),_xlfn.CONCAT(B70,":",C70))</f>
        <v>Number of children cured - Age: 6 - 23 Months</v>
      </c>
      <c r="K70" s="14" t="str">
        <f t="shared" si="2"/>
        <v>19.2 - Number of children cured - Age: 6 - 23 Months</v>
      </c>
      <c r="L70" s="10" t="str">
        <f t="shared" si="3"/>
        <v>19.2 - Number of children cured - Age: 6 - 23 Months(NUT_TX-U5MN_SAM_Cur_SC_ 4.2):Nutrition</v>
      </c>
    </row>
    <row r="71" spans="1:12" ht="36.950000000000003" customHeight="1" thickBot="1" x14ac:dyDescent="0.3">
      <c r="A71" s="30" t="s">
        <v>1363</v>
      </c>
      <c r="B71" s="37" t="s">
        <v>1348</v>
      </c>
      <c r="C71" s="6" t="s">
        <v>1162</v>
      </c>
      <c r="D71" s="4"/>
      <c r="E71" s="8"/>
      <c r="F71" t="s">
        <v>808</v>
      </c>
      <c r="G71" t="str">
        <f>VLOOKUP('working space'!A71,ordering!A:D,4,FALSE)</f>
        <v>19.3</v>
      </c>
      <c r="H71" t="s">
        <v>808</v>
      </c>
      <c r="I71" s="8" t="str" cm="1">
        <f t="array" ref="I71">IF(ISERR(SEARCH("=sum",F71)), BuildReportDescriptionText(B71),_xlfn.CONCAT(B71,"(",A71,")", ":",C71))</f>
        <v>Number of children cured - Age: 24 - 59 Months(NUT_TX-U5MN_SAM_Cur_SC_ 4.3):Nutrition</v>
      </c>
      <c r="J71" s="8" t="str" cm="1">
        <f t="array" ref="J71">IF(ISERR(SEARCH("=sum",F71)), BuildReportTitleText(B71),_xlfn.CONCAT(B71,":",C71))</f>
        <v>Number of children cured - Age: 24 - 59 Months</v>
      </c>
      <c r="K71" s="14" t="str">
        <f t="shared" si="2"/>
        <v>19.3 - Number of children cured - Age: 24 - 59 Months</v>
      </c>
      <c r="L71" s="10" t="str">
        <f t="shared" si="3"/>
        <v>19.3 - Number of children cured - Age: 24 - 59 Months(NUT_TX-U5MN_SAM_Cur_SC_ 4.3):Nutrition</v>
      </c>
    </row>
    <row r="72" spans="1:12" ht="36.950000000000003" customHeight="1" thickBot="1" x14ac:dyDescent="0.3">
      <c r="A72" s="38" t="s">
        <v>1364</v>
      </c>
      <c r="B72" s="41" t="s">
        <v>1365</v>
      </c>
      <c r="C72" s="6" t="s">
        <v>1162</v>
      </c>
      <c r="D72" s="4"/>
      <c r="E72" s="8"/>
      <c r="F72" t="s">
        <v>1421</v>
      </c>
      <c r="G72" t="str">
        <f>VLOOKUP('working space'!A72,ordering!A:D,4,FALSE)</f>
        <v>20</v>
      </c>
      <c r="H72" t="s">
        <v>1421</v>
      </c>
      <c r="I72" s="8" t="str" cm="1">
        <f t="array" ref="I72">IF(ISERR(SEARCH("=sum",F72)), BuildReportDescriptionText(B72),_xlfn.CONCAT(B72,"(",A72,")", ":",C72))</f>
        <v>Number of children died(NUT_TX-U5MN_SAM_died_SC_5):Nutrition</v>
      </c>
      <c r="J72" s="8" t="str" cm="1">
        <f t="array" ref="J72">IF(ISERR(SEARCH("=sum",F72)), BuildReportTitleText(B72),_xlfn.CONCAT(B72,":",C72))</f>
        <v>Number of children died:Nutrition</v>
      </c>
      <c r="K72" s="14" t="str">
        <f t="shared" si="2"/>
        <v>20 - Number of children died:Nutrition</v>
      </c>
      <c r="L72" s="10" t="str">
        <f t="shared" si="3"/>
        <v>20 - Number of children died(NUT_TX-U5MN_SAM_died_SC_5):Nutrition</v>
      </c>
    </row>
    <row r="73" spans="1:12" ht="36.950000000000003" customHeight="1" thickBot="1" x14ac:dyDescent="0.3">
      <c r="A73" s="30" t="s">
        <v>1366</v>
      </c>
      <c r="B73" s="37" t="s">
        <v>1344</v>
      </c>
      <c r="C73" s="6" t="s">
        <v>1162</v>
      </c>
      <c r="D73" s="4"/>
      <c r="E73" s="8"/>
      <c r="F73" t="s">
        <v>810</v>
      </c>
      <c r="G73" t="str">
        <f>VLOOKUP('working space'!A73,ordering!A:D,4,FALSE)</f>
        <v>20.1</v>
      </c>
      <c r="H73" t="s">
        <v>810</v>
      </c>
      <c r="I73" s="8" t="str" cm="1">
        <f t="array" ref="I73">IF(ISERR(SEARCH("=sum",F73)), BuildReportDescriptionText(B73),_xlfn.CONCAT(B73,"(",A73,")", ":",C73))</f>
        <v>Number of children died - Age: 0 – 5 Months(NUT_TX-U5MN_SAM_died_SC_5.1):Nutrition</v>
      </c>
      <c r="J73" s="8" t="str" cm="1">
        <f t="array" ref="J73">IF(ISERR(SEARCH("=sum",F73)), BuildReportTitleText(B73),_xlfn.CONCAT(B73,":",C73))</f>
        <v>Number of children died - Age: 0 – 5 Months</v>
      </c>
      <c r="K73" s="14" t="str">
        <f t="shared" si="2"/>
        <v>20.1 - Number of children died - Age: 0 – 5 Months</v>
      </c>
      <c r="L73" s="10" t="str">
        <f t="shared" si="3"/>
        <v>20.1 - Number of children died - Age: 0 – 5 Months(NUT_TX-U5MN_SAM_died_SC_5.1):Nutrition</v>
      </c>
    </row>
    <row r="74" spans="1:12" ht="36.950000000000003" customHeight="1" thickBot="1" x14ac:dyDescent="0.3">
      <c r="A74" s="30" t="s">
        <v>1367</v>
      </c>
      <c r="B74" s="37" t="s">
        <v>1346</v>
      </c>
      <c r="C74" s="6" t="s">
        <v>1162</v>
      </c>
      <c r="D74" s="4"/>
      <c r="E74" s="8"/>
      <c r="F74" t="s">
        <v>812</v>
      </c>
      <c r="G74" t="str">
        <f>VLOOKUP('working space'!A74,ordering!A:D,4,FALSE)</f>
        <v>20.2</v>
      </c>
      <c r="H74" t="s">
        <v>812</v>
      </c>
      <c r="I74" s="8" t="str" cm="1">
        <f t="array" ref="I74">IF(ISERR(SEARCH("=sum",F74)), BuildReportDescriptionText(B74),_xlfn.CONCAT(B74,"(",A74,")", ":",C74))</f>
        <v>Number of children died - Age: 6 - 23 Months(NUT_TX-U5MN_SAM_died_SC_5.2):Nutrition</v>
      </c>
      <c r="J74" s="8" t="str" cm="1">
        <f t="array" ref="J74">IF(ISERR(SEARCH("=sum",F74)), BuildReportTitleText(B74),_xlfn.CONCAT(B74,":",C74))</f>
        <v>Number of children died - Age: 6 - 23 Months</v>
      </c>
      <c r="K74" s="14" t="str">
        <f t="shared" si="2"/>
        <v>20.2 - Number of children died - Age: 6 - 23 Months</v>
      </c>
      <c r="L74" s="10" t="str">
        <f t="shared" si="3"/>
        <v>20.2 - Number of children died - Age: 6 - 23 Months(NUT_TX-U5MN_SAM_died_SC_5.2):Nutrition</v>
      </c>
    </row>
    <row r="75" spans="1:12" ht="36.950000000000003" customHeight="1" thickBot="1" x14ac:dyDescent="0.3">
      <c r="A75" s="30" t="s">
        <v>1368</v>
      </c>
      <c r="B75" s="37" t="s">
        <v>1348</v>
      </c>
      <c r="C75" s="6" t="s">
        <v>1162</v>
      </c>
      <c r="D75" s="4"/>
      <c r="E75" s="8"/>
      <c r="F75" t="s">
        <v>814</v>
      </c>
      <c r="G75" t="str">
        <f>VLOOKUP('working space'!A75,ordering!A:D,4,FALSE)</f>
        <v>20.3</v>
      </c>
      <c r="H75" t="s">
        <v>814</v>
      </c>
      <c r="I75" s="8" t="str" cm="1">
        <f t="array" ref="I75">IF(ISERR(SEARCH("=sum",F75)), BuildReportDescriptionText(B75),_xlfn.CONCAT(B75,"(",A75,")", ":",C75))</f>
        <v>Number of children died - Age: 24 - 59 Months(NUT_TX-U5MN_SAM_died_SC_5.3):Nutrition</v>
      </c>
      <c r="J75" s="8" t="str" cm="1">
        <f t="array" ref="J75">IF(ISERR(SEARCH("=sum",F75)), BuildReportTitleText(B75),_xlfn.CONCAT(B75,":",C75))</f>
        <v>Number of children died - Age: 24 - 59 Months</v>
      </c>
      <c r="K75" s="14" t="str">
        <f t="shared" si="2"/>
        <v>20.3 - Number of children died - Age: 24 - 59 Months</v>
      </c>
      <c r="L75" s="10" t="str">
        <f t="shared" si="3"/>
        <v>20.3 - Number of children died - Age: 24 - 59 Months(NUT_TX-U5MN_SAM_died_SC_5.3):Nutrition</v>
      </c>
    </row>
    <row r="76" spans="1:12" ht="36.950000000000003" customHeight="1" thickBot="1" x14ac:dyDescent="0.3">
      <c r="A76" s="38" t="s">
        <v>1369</v>
      </c>
      <c r="B76" s="41" t="s">
        <v>1370</v>
      </c>
      <c r="C76" s="6" t="s">
        <v>1162</v>
      </c>
      <c r="D76" s="4"/>
      <c r="E76" s="8"/>
      <c r="F76" t="s">
        <v>1422</v>
      </c>
      <c r="G76" t="str">
        <f>VLOOKUP('working space'!A76,ordering!A:D,4,FALSE)</f>
        <v>21</v>
      </c>
      <c r="H76" t="s">
        <v>1422</v>
      </c>
      <c r="I76" s="8" t="str" cm="1">
        <f t="array" ref="I76">IF(ISERR(SEARCH("=sum",F76)), BuildReportDescriptionText(B76),_xlfn.CONCAT(B76,"(",A76,")", ":",C76))</f>
        <v>Number of children transferred out(NUT_TX-U5MN_SAM_TO_SC_6):Nutrition</v>
      </c>
      <c r="J76" s="8" t="str" cm="1">
        <f t="array" ref="J76">IF(ISERR(SEARCH("=sum",F76)), BuildReportTitleText(B76),_xlfn.CONCAT(B76,":",C76))</f>
        <v>Number of children transferred out:Nutrition</v>
      </c>
      <c r="K76" s="14" t="str">
        <f t="shared" si="2"/>
        <v>21 - Number of children transferred out:Nutrition</v>
      </c>
      <c r="L76" s="10" t="str">
        <f t="shared" si="3"/>
        <v>21 - Number of children transferred out(NUT_TX-U5MN_SAM_TO_SC_6):Nutrition</v>
      </c>
    </row>
    <row r="77" spans="1:12" ht="36.950000000000003" customHeight="1" thickBot="1" x14ac:dyDescent="0.3">
      <c r="A77" s="30" t="s">
        <v>1371</v>
      </c>
      <c r="B77" s="37" t="s">
        <v>1344</v>
      </c>
      <c r="C77" s="6" t="s">
        <v>1162</v>
      </c>
      <c r="D77" s="4"/>
      <c r="E77" s="8"/>
      <c r="F77" t="s">
        <v>816</v>
      </c>
      <c r="G77" t="str">
        <f>VLOOKUP('working space'!A77,ordering!A:D,4,FALSE)</f>
        <v>21.1</v>
      </c>
      <c r="H77" t="s">
        <v>816</v>
      </c>
      <c r="I77" s="8" t="str" cm="1">
        <f t="array" ref="I77">IF(ISERR(SEARCH("=sum",F77)), BuildReportDescriptionText(B77),_xlfn.CONCAT(B77,"(",A77,")", ":",C77))</f>
        <v>Number of children transferred out - Age: 0 – 5 Months(NUT_TX-U5MN_SAM_TO_SC_6.1):Nutrition</v>
      </c>
      <c r="J77" s="8" t="str" cm="1">
        <f t="array" ref="J77">IF(ISERR(SEARCH("=sum",F77)), BuildReportTitleText(B77),_xlfn.CONCAT(B77,":",C77))</f>
        <v>Number of children transferred out - Age: 0 – 5 Months</v>
      </c>
      <c r="K77" s="14" t="str">
        <f t="shared" si="2"/>
        <v>21.1 - Number of children transferred out - Age: 0 – 5 Months</v>
      </c>
      <c r="L77" s="10" t="str">
        <f t="shared" si="3"/>
        <v>21.1 - Number of children transferred out - Age: 0 – 5 Months(NUT_TX-U5MN_SAM_TO_SC_6.1):Nutrition</v>
      </c>
    </row>
    <row r="78" spans="1:12" ht="30.75" thickBot="1" x14ac:dyDescent="0.3">
      <c r="A78" s="30" t="s">
        <v>1372</v>
      </c>
      <c r="B78" s="37" t="s">
        <v>1346</v>
      </c>
      <c r="C78" s="6" t="s">
        <v>1162</v>
      </c>
      <c r="D78" s="4"/>
      <c r="E78" s="8"/>
      <c r="F78" t="s">
        <v>818</v>
      </c>
      <c r="G78" t="str">
        <f>VLOOKUP('working space'!A78,ordering!A:D,4,FALSE)</f>
        <v>21.2</v>
      </c>
      <c r="H78" t="s">
        <v>818</v>
      </c>
      <c r="I78" s="8" t="str" cm="1">
        <f t="array" ref="I78">IF(ISERR(SEARCH("=sum",F78)), BuildReportDescriptionText(B78),_xlfn.CONCAT(B78,"(",A78,")", ":",C78))</f>
        <v>Number of children transferred out - Age: 6 - 23 Months(NUT_TX-U5MN_SAM_TO_SC_6.2):Nutrition</v>
      </c>
      <c r="J78" s="8" t="str" cm="1">
        <f t="array" ref="J78">IF(ISERR(SEARCH("=sum",F78)), BuildReportTitleText(B78),_xlfn.CONCAT(B78,":",C78))</f>
        <v>Number of children transferred out - Age: 6 - 23 Months</v>
      </c>
      <c r="K78" s="14" t="str">
        <f t="shared" si="2"/>
        <v>21.2 - Number of children transferred out - Age: 6 - 23 Months</v>
      </c>
      <c r="L78" s="10" t="str">
        <f t="shared" si="3"/>
        <v>21.2 - Number of children transferred out - Age: 6 - 23 Months(NUT_TX-U5MN_SAM_TO_SC_6.2):Nutrition</v>
      </c>
    </row>
    <row r="79" spans="1:12" ht="36.950000000000003" customHeight="1" thickBot="1" x14ac:dyDescent="0.3">
      <c r="A79" s="30" t="s">
        <v>1373</v>
      </c>
      <c r="B79" s="37" t="s">
        <v>1348</v>
      </c>
      <c r="C79" s="6" t="s">
        <v>1162</v>
      </c>
      <c r="D79" s="4"/>
      <c r="E79" s="8"/>
      <c r="F79" t="s">
        <v>820</v>
      </c>
      <c r="G79" t="str">
        <f>VLOOKUP('working space'!A79,ordering!A:D,4,FALSE)</f>
        <v>21.3</v>
      </c>
      <c r="H79" t="s">
        <v>820</v>
      </c>
      <c r="I79" s="8" t="str" cm="1">
        <f t="array" ref="I79">IF(ISERR(SEARCH("=sum",F79)), BuildReportDescriptionText(B79),_xlfn.CONCAT(B79,"(",A79,")", ":",C79))</f>
        <v>Number of children transferred out - Age: 24 - 59 Months(NUT_TX-U5MN_SAM_TO_SC_6.3):Nutrition</v>
      </c>
      <c r="J79" s="8" t="str" cm="1">
        <f t="array" ref="J79">IF(ISERR(SEARCH("=sum",F79)), BuildReportTitleText(B79),_xlfn.CONCAT(B79,":",C79))</f>
        <v>Number of children transferred out - Age: 24 - 59 Months</v>
      </c>
      <c r="K79" s="14" t="str">
        <f t="shared" si="2"/>
        <v>21.3 - Number of children transferred out - Age: 24 - 59 Months</v>
      </c>
      <c r="L79" s="10" t="str">
        <f t="shared" si="3"/>
        <v>21.3 - Number of children transferred out - Age: 24 - 59 Months(NUT_TX-U5MN_SAM_TO_SC_6.3):Nutrition</v>
      </c>
    </row>
    <row r="80" spans="1:12" ht="36.950000000000003" customHeight="1" thickBot="1" x14ac:dyDescent="0.35">
      <c r="A80" s="38" t="s">
        <v>1374</v>
      </c>
      <c r="B80" s="41" t="s">
        <v>1375</v>
      </c>
      <c r="C80" s="6" t="s">
        <v>1162</v>
      </c>
      <c r="D80" s="7"/>
      <c r="E80" s="8"/>
      <c r="F80" t="s">
        <v>1423</v>
      </c>
      <c r="G80" t="str">
        <f>VLOOKUP('working space'!A80,ordering!A:D,4,FALSE)</f>
        <v>22</v>
      </c>
      <c r="H80" t="s">
        <v>1423</v>
      </c>
      <c r="I80" s="8" t="str" cm="1">
        <f t="array" ref="I80">IF(ISERR(SEARCH("=sum",F80)), BuildReportDescriptionText(B80),_xlfn.CONCAT(B80,"(",A80,")", ":",C80))</f>
        <v>Number of children defaulted(NUT_TX-U5MN_SAM_Def_SC_7):Nutrition</v>
      </c>
      <c r="J80" s="8" t="str" cm="1">
        <f t="array" ref="J80">IF(ISERR(SEARCH("=sum",F80)), BuildReportTitleText(B80),_xlfn.CONCAT(B80,":",C80))</f>
        <v>Number of children defaulted:Nutrition</v>
      </c>
      <c r="K80" s="14" t="str">
        <f t="shared" si="2"/>
        <v>22 - Number of children defaulted:Nutrition</v>
      </c>
      <c r="L80" s="10" t="str">
        <f t="shared" si="3"/>
        <v>22 - Number of children defaulted(NUT_TX-U5MN_SAM_Def_SC_7):Nutrition</v>
      </c>
    </row>
    <row r="81" spans="1:12" ht="36.950000000000003" customHeight="1" thickBot="1" x14ac:dyDescent="0.35">
      <c r="A81" s="30" t="s">
        <v>1376</v>
      </c>
      <c r="B81" s="37" t="s">
        <v>1344</v>
      </c>
      <c r="C81" s="6" t="s">
        <v>1162</v>
      </c>
      <c r="D81" s="7"/>
      <c r="E81" s="8"/>
      <c r="F81" t="s">
        <v>822</v>
      </c>
      <c r="G81" t="str">
        <f>VLOOKUP('working space'!A81,ordering!A:D,4,FALSE)</f>
        <v>22.1</v>
      </c>
      <c r="H81" t="s">
        <v>822</v>
      </c>
      <c r="I81" s="8" t="str" cm="1">
        <f t="array" ref="I81">IF(ISERR(SEARCH("=sum",F81)), BuildReportDescriptionText(B81),_xlfn.CONCAT(B81,"(",A81,")", ":",C81))</f>
        <v>Number of children defaulted - Age: 0 – 5 Months(NUT_TX-U5MN_SAM_Def_SC_7.1):Nutrition</v>
      </c>
      <c r="J81" s="8" t="str" cm="1">
        <f t="array" ref="J81">IF(ISERR(SEARCH("=sum",F81)), BuildReportTitleText(B81),_xlfn.CONCAT(B81,":",C81))</f>
        <v>Number of children defaulted - Age: 0 – 5 Months</v>
      </c>
      <c r="K81" s="14" t="str">
        <f t="shared" si="2"/>
        <v>22.1 - Number of children defaulted - Age: 0 – 5 Months</v>
      </c>
      <c r="L81" s="10" t="str">
        <f t="shared" si="3"/>
        <v>22.1 - Number of children defaulted - Age: 0 – 5 Months(NUT_TX-U5MN_SAM_Def_SC_7.1):Nutrition</v>
      </c>
    </row>
    <row r="82" spans="1:12" ht="36.950000000000003" customHeight="1" thickBot="1" x14ac:dyDescent="0.35">
      <c r="A82" s="30" t="s">
        <v>1377</v>
      </c>
      <c r="B82" s="37" t="s">
        <v>1346</v>
      </c>
      <c r="C82" s="6" t="s">
        <v>1162</v>
      </c>
      <c r="D82" s="7"/>
      <c r="E82" s="8"/>
      <c r="F82" t="s">
        <v>824</v>
      </c>
      <c r="G82" t="str">
        <f>VLOOKUP('working space'!A82,ordering!A:D,4,FALSE)</f>
        <v>22.2</v>
      </c>
      <c r="H82" t="s">
        <v>824</v>
      </c>
      <c r="I82" s="8" t="str" cm="1">
        <f t="array" ref="I82">IF(ISERR(SEARCH("=sum",F82)), BuildReportDescriptionText(B82),_xlfn.CONCAT(B82,"(",A82,")", ":",C82))</f>
        <v>Number of children defaulted - Age: 6 - 23 Months(NUT_TX-U5MN_SAM_Def_SC_7.2):Nutrition</v>
      </c>
      <c r="J82" s="8" t="str" cm="1">
        <f t="array" ref="J82">IF(ISERR(SEARCH("=sum",F82)), BuildReportTitleText(B82),_xlfn.CONCAT(B82,":",C82))</f>
        <v>Number of children defaulted - Age: 6 - 23 Months</v>
      </c>
      <c r="K82" s="14" t="str">
        <f t="shared" si="2"/>
        <v>22.2 - Number of children defaulted - Age: 6 - 23 Months</v>
      </c>
      <c r="L82" s="10" t="str">
        <f t="shared" si="3"/>
        <v>22.2 - Number of children defaulted - Age: 6 - 23 Months(NUT_TX-U5MN_SAM_Def_SC_7.2):Nutrition</v>
      </c>
    </row>
    <row r="83" spans="1:12" s="16" customFormat="1" ht="36.950000000000003" customHeight="1" thickBot="1" x14ac:dyDescent="0.3">
      <c r="A83" s="30" t="s">
        <v>1378</v>
      </c>
      <c r="B83" s="37" t="s">
        <v>1348</v>
      </c>
      <c r="C83" s="6" t="s">
        <v>1162</v>
      </c>
      <c r="D83" s="4"/>
      <c r="E83" s="15"/>
      <c r="F83" t="s">
        <v>826</v>
      </c>
      <c r="G83" t="str">
        <f>VLOOKUP('working space'!A83,ordering!A:D,4,FALSE)</f>
        <v>22.3</v>
      </c>
      <c r="H83" t="s">
        <v>826</v>
      </c>
      <c r="I83" s="8" t="str" cm="1">
        <f t="array" ref="I83">IF(ISERR(SEARCH("=sum",F83)), BuildReportDescriptionText(B83),_xlfn.CONCAT(B83,"(",A83,")", ":",C83))</f>
        <v>Number of children defaulted - Age: 24 - 59 Months(NUT_TX-U5MN_SAM_Def_SC_7.3):Nutrition</v>
      </c>
      <c r="J83" s="8" t="str" cm="1">
        <f t="array" ref="J83">IF(ISERR(SEARCH("=sum",F83)), BuildReportTitleText(B83),_xlfn.CONCAT(B83,":",C83))</f>
        <v>Number of children defaulted - Age: 24 - 59 Months</v>
      </c>
      <c r="K83" s="14" t="str">
        <f t="shared" si="2"/>
        <v>22.3 - Number of children defaulted - Age: 24 - 59 Months</v>
      </c>
      <c r="L83" s="10" t="str">
        <f t="shared" si="3"/>
        <v>22.3 - Number of children defaulted - Age: 24 - 59 Months(NUT_TX-U5MN_SAM_Def_SC_7.3):Nutrition</v>
      </c>
    </row>
    <row r="84" spans="1:12" ht="36.950000000000003" customHeight="1" thickBot="1" x14ac:dyDescent="0.3">
      <c r="A84" s="38" t="s">
        <v>1379</v>
      </c>
      <c r="B84" s="41" t="s">
        <v>1380</v>
      </c>
      <c r="C84" s="6" t="s">
        <v>1162</v>
      </c>
      <c r="D84" s="4"/>
      <c r="E84" s="8"/>
      <c r="F84" t="s">
        <v>1424</v>
      </c>
      <c r="G84" t="str">
        <f>VLOOKUP('working space'!A84,ordering!A:D,4,FALSE)</f>
        <v>23</v>
      </c>
      <c r="H84" t="s">
        <v>1424</v>
      </c>
      <c r="I84" s="8" t="str" cm="1">
        <f t="array" ref="I84">IF(ISERR(SEARCH("=sum",F84)), BuildReportDescriptionText(B84),_xlfn.CONCAT(B84,"(",A84,")", ":",C84))</f>
        <v>Number of children -non-respondent(NUT_TX-U5MN_SAM_NR_SC_8):Nutrition</v>
      </c>
      <c r="J84" s="8" t="str" cm="1">
        <f t="array" ref="J84">IF(ISERR(SEARCH("=sum",F84)), BuildReportTitleText(B84),_xlfn.CONCAT(B84,":",C84))</f>
        <v>Number of children -non-respondent:Nutrition</v>
      </c>
      <c r="K84" s="14" t="str">
        <f t="shared" si="2"/>
        <v>23 - Number of children -non-respondent:Nutrition</v>
      </c>
      <c r="L84" s="10" t="str">
        <f t="shared" si="3"/>
        <v>23 - Number of children -non-respondent(NUT_TX-U5MN_SAM_NR_SC_8):Nutrition</v>
      </c>
    </row>
    <row r="85" spans="1:12" ht="36.950000000000003" customHeight="1" thickBot="1" x14ac:dyDescent="0.3">
      <c r="A85" s="30" t="s">
        <v>1381</v>
      </c>
      <c r="B85" s="37" t="s">
        <v>1344</v>
      </c>
      <c r="C85" s="6" t="s">
        <v>1162</v>
      </c>
      <c r="D85" s="4"/>
      <c r="E85" s="8"/>
      <c r="F85" t="s">
        <v>828</v>
      </c>
      <c r="G85" t="str">
        <f>VLOOKUP('working space'!A85,ordering!A:D,4,FALSE)</f>
        <v>23.1</v>
      </c>
      <c r="H85" t="s">
        <v>828</v>
      </c>
      <c r="I85" s="8" t="str" cm="1">
        <f t="array" ref="I85">IF(ISERR(SEARCH("=sum",F85)), BuildReportDescriptionText(B85),_xlfn.CONCAT(B85,"(",A85,")", ":",C85))</f>
        <v>Number of children -non-respondent - Age: 0 – 5 Months(NUT_TX-U5MN_SAM_NR_SC_8.1):Nutrition</v>
      </c>
      <c r="J85" s="8" t="str" cm="1">
        <f t="array" ref="J85">IF(ISERR(SEARCH("=sum",F85)), BuildReportTitleText(B85),_xlfn.CONCAT(B85,":",C85))</f>
        <v>Number of children -non-respondent - Age: 0 – 5 Months</v>
      </c>
      <c r="K85" s="14" t="str">
        <f t="shared" si="2"/>
        <v>23.1 - Number of children -non-respondent - Age: 0 – 5 Months</v>
      </c>
      <c r="L85" s="10" t="str">
        <f t="shared" si="3"/>
        <v>23.1 - Number of children -non-respondent - Age: 0 – 5 Months(NUT_TX-U5MN_SAM_NR_SC_8.1):Nutrition</v>
      </c>
    </row>
    <row r="86" spans="1:12" ht="36.950000000000003" customHeight="1" thickBot="1" x14ac:dyDescent="0.3">
      <c r="A86" s="30" t="s">
        <v>1382</v>
      </c>
      <c r="B86" s="37" t="s">
        <v>1346</v>
      </c>
      <c r="C86" s="6" t="s">
        <v>1162</v>
      </c>
      <c r="D86" s="4"/>
      <c r="E86" s="8"/>
      <c r="F86" t="s">
        <v>830</v>
      </c>
      <c r="G86" t="str">
        <f>VLOOKUP('working space'!A86,ordering!A:D,4,FALSE)</f>
        <v>23.2</v>
      </c>
      <c r="H86" t="s">
        <v>830</v>
      </c>
      <c r="I86" s="8" t="str" cm="1">
        <f t="array" ref="I86">IF(ISERR(SEARCH("=sum",F86)), BuildReportDescriptionText(B86),_xlfn.CONCAT(B86,"(",A86,")", ":",C86))</f>
        <v>Number of children -non-respondent - Age: 6 - 23 Months(NUT_TX-U5MN_SAM_NR_SC_8.2):Nutrition</v>
      </c>
      <c r="J86" s="8" t="str" cm="1">
        <f t="array" ref="J86">IF(ISERR(SEARCH("=sum",F86)), BuildReportTitleText(B86),_xlfn.CONCAT(B86,":",C86))</f>
        <v>Number of children -non-respondent - Age: 6 - 23 Months</v>
      </c>
      <c r="K86" s="14" t="str">
        <f t="shared" si="2"/>
        <v>23.2 - Number of children -non-respondent - Age: 6 - 23 Months</v>
      </c>
      <c r="L86" s="10" t="str">
        <f t="shared" si="3"/>
        <v>23.2 - Number of children -non-respondent - Age: 6 - 23 Months(NUT_TX-U5MN_SAM_NR_SC_8.2):Nutrition</v>
      </c>
    </row>
    <row r="87" spans="1:12" ht="36.950000000000003" customHeight="1" thickBot="1" x14ac:dyDescent="0.3">
      <c r="A87" s="30" t="s">
        <v>1383</v>
      </c>
      <c r="B87" s="37" t="s">
        <v>1348</v>
      </c>
      <c r="C87" s="6" t="s">
        <v>1162</v>
      </c>
      <c r="D87" s="4"/>
      <c r="E87" s="8"/>
      <c r="F87" t="s">
        <v>832</v>
      </c>
      <c r="G87" t="str">
        <f>VLOOKUP('working space'!A87,ordering!A:D,4,FALSE)</f>
        <v>23.3</v>
      </c>
      <c r="H87" t="s">
        <v>832</v>
      </c>
      <c r="I87" s="8" t="str" cm="1">
        <f t="array" ref="I87">IF(ISERR(SEARCH("=sum",F87)), BuildReportDescriptionText(B87),_xlfn.CONCAT(B87,"(",A87,")", ":",C87))</f>
        <v>Number of children -non-respondent - Age: 24 - 59 Months(NUT_TX-U5MN_SAM_NR_SC_8.3):Nutrition</v>
      </c>
      <c r="J87" s="8" t="str" cm="1">
        <f t="array" ref="J87">IF(ISERR(SEARCH("=sum",F87)), BuildReportTitleText(B87),_xlfn.CONCAT(B87,":",C87))</f>
        <v>Number of children -non-respondent - Age: 24 - 59 Months</v>
      </c>
      <c r="K87" s="14" t="str">
        <f t="shared" si="2"/>
        <v>23.3 - Number of children -non-respondent - Age: 24 - 59 Months</v>
      </c>
      <c r="L87" s="10" t="str">
        <f t="shared" si="3"/>
        <v>23.3 - Number of children -non-respondent - Age: 24 - 59 Months(NUT_TX-U5MN_SAM_NR_SC_8.3):Nutrition</v>
      </c>
    </row>
    <row r="88" spans="1:12" ht="36.950000000000003" customHeight="1" thickBot="1" x14ac:dyDescent="0.3">
      <c r="A88" s="38" t="s">
        <v>1384</v>
      </c>
      <c r="B88" s="41" t="s">
        <v>1385</v>
      </c>
      <c r="C88" s="6" t="s">
        <v>1162</v>
      </c>
      <c r="D88" s="4"/>
      <c r="E88" s="8"/>
      <c r="F88" t="s">
        <v>1425</v>
      </c>
      <c r="G88" t="str">
        <f>VLOOKUP('working space'!A88,ordering!A:D,4,FALSE)</f>
        <v>24</v>
      </c>
      <c r="H88" t="s">
        <v>1425</v>
      </c>
      <c r="I88" s="8" t="str" cm="1">
        <f t="array" ref="I88">IF(ISERR(SEARCH("=sum",F88)), BuildReportDescriptionText(B88),_xlfn.CONCAT(B88,"(",A88,")", ":",C88))</f>
        <v>Number of children who exit from severe acute malnutrition treatment during the reporting period(NUT_TX-U5MN_SAM_Ext_SC_9):Nutrition</v>
      </c>
      <c r="J88" s="8" t="str" cm="1">
        <f t="array" ref="J88">IF(ISERR(SEARCH("=sum",F88)), BuildReportTitleText(B88),_xlfn.CONCAT(B88,":",C88))</f>
        <v>Number of children who exit from severe acute malnutrition treatment during the reporting period:Nutrition</v>
      </c>
      <c r="K88" s="14" t="str">
        <f t="shared" si="2"/>
        <v>24 - Number of children who exit from severe acute malnutrition treatment during the reporting period:Nutrition</v>
      </c>
      <c r="L88" s="10" t="str">
        <f t="shared" si="3"/>
        <v>24 - Number of children who exit from severe acute malnutrition treatment during the reporting period(NUT_TX-U5MN_SAM_Ext_SC_9):Nutrition</v>
      </c>
    </row>
    <row r="89" spans="1:12" ht="36.950000000000003" customHeight="1" thickBot="1" x14ac:dyDescent="0.3">
      <c r="A89" s="30" t="s">
        <v>1386</v>
      </c>
      <c r="B89" s="37" t="s">
        <v>1344</v>
      </c>
      <c r="C89" s="6" t="s">
        <v>1162</v>
      </c>
      <c r="D89" s="4"/>
      <c r="E89" s="8"/>
      <c r="F89" t="s">
        <v>834</v>
      </c>
      <c r="G89" t="str">
        <f>VLOOKUP('working space'!A89,ordering!A:D,4,FALSE)</f>
        <v>24.1</v>
      </c>
      <c r="H89" t="s">
        <v>834</v>
      </c>
      <c r="I89" s="8" t="str" cm="1">
        <f t="array" ref="I89">IF(ISERR(SEARCH("=sum",F89)), BuildReportDescriptionText(B89),_xlfn.CONCAT(B89,"(",A89,")", ":",C89))</f>
        <v>Number of children who exit from severe acute malnutrition treatment during the reporting period - Age: 0 – 5 Months(NUT_TX-U5MN_SAM_Ext_SC_9.1):Nutrition</v>
      </c>
      <c r="J89" s="8" t="str" cm="1">
        <f t="array" ref="J89">IF(ISERR(SEARCH("=sum",F89)), BuildReportTitleText(B89),_xlfn.CONCAT(B89,":",C89))</f>
        <v>Number of children who exit from severe acute malnutrition treatment during the reporting period - Age: 0 – 5 Months</v>
      </c>
      <c r="K89" s="14" t="str">
        <f t="shared" si="2"/>
        <v>24.1 - Number of children who exit from severe acute malnutrition treatment during the reporting period - Age: 0 – 5 Months</v>
      </c>
      <c r="L89" s="10" t="str">
        <f t="shared" si="3"/>
        <v>24.1 - Number of children who exit from severe acute malnutrition treatment during the reporting period - Age: 0 – 5 Months(NUT_TX-U5MN_SAM_Ext_SC_9.1):Nutrition</v>
      </c>
    </row>
    <row r="90" spans="1:12" ht="36.950000000000003" customHeight="1" thickBot="1" x14ac:dyDescent="0.3">
      <c r="A90" s="30" t="s">
        <v>1387</v>
      </c>
      <c r="B90" s="37" t="s">
        <v>1346</v>
      </c>
      <c r="C90" s="6" t="s">
        <v>1162</v>
      </c>
      <c r="D90" s="4"/>
      <c r="E90" s="8"/>
      <c r="F90" t="s">
        <v>836</v>
      </c>
      <c r="G90" t="str">
        <f>VLOOKUP('working space'!A90,ordering!A:D,4,FALSE)</f>
        <v>24.2</v>
      </c>
      <c r="H90" t="s">
        <v>836</v>
      </c>
      <c r="I90" s="8" t="str" cm="1">
        <f t="array" ref="I90">IF(ISERR(SEARCH("=sum",F90)), BuildReportDescriptionText(B90),_xlfn.CONCAT(B90,"(",A90,")", ":",C90))</f>
        <v>Number of children who exit from severe acute malnutrition treatment during the reporting period - Age: 6 - 23 Months(NUT_TX-U5MN_SAM_Ext_SC_9.2):Nutrition</v>
      </c>
      <c r="J90" s="8" t="str" cm="1">
        <f t="array" ref="J90">IF(ISERR(SEARCH("=sum",F90)), BuildReportTitleText(B90),_xlfn.CONCAT(B90,":",C90))</f>
        <v>Number of children who exit from severe acute malnutrition treatment during the reporting period - Age: 6 - 23 Months</v>
      </c>
      <c r="K90" s="14" t="str">
        <f t="shared" si="2"/>
        <v>24.2 - Number of children who exit from severe acute malnutrition treatment during the reporting period - Age: 6 - 23 Months</v>
      </c>
      <c r="L90" s="10" t="str">
        <f t="shared" si="3"/>
        <v>24.2 - Number of children who exit from severe acute malnutrition treatment during the reporting period - Age: 6 - 23 Months(NUT_TX-U5MN_SAM_Ext_SC_9.2):Nutrition</v>
      </c>
    </row>
    <row r="91" spans="1:12" ht="36.950000000000003" customHeight="1" thickBot="1" x14ac:dyDescent="0.3">
      <c r="A91" s="30" t="s">
        <v>1388</v>
      </c>
      <c r="B91" s="30" t="s">
        <v>1348</v>
      </c>
      <c r="C91" s="6" t="s">
        <v>1162</v>
      </c>
      <c r="D91" s="4"/>
      <c r="E91" s="8"/>
      <c r="F91" t="s">
        <v>838</v>
      </c>
      <c r="G91" t="str">
        <f>VLOOKUP('working space'!A91,ordering!A:D,4,FALSE)</f>
        <v>24.3</v>
      </c>
      <c r="H91" t="s">
        <v>838</v>
      </c>
      <c r="I91" s="8" t="str" cm="1">
        <f t="array" ref="I91">IF(ISERR(SEARCH("=sum",F91)), BuildReportDescriptionText(B91),_xlfn.CONCAT(B91,"(",A91,")", ":",C91))</f>
        <v>Number of children who exit from severe acute malnutrition treatment during the reporting period - Age: 24 - 59 Months(NUT_TX-U5MN_SAM_Ext_SC_9.3):Nutrition</v>
      </c>
      <c r="J91" s="8" t="str" cm="1">
        <f t="array" ref="J91">IF(ISERR(SEARCH("=sum",F91)), BuildReportTitleText(B91),_xlfn.CONCAT(B91,":",C91))</f>
        <v>Number of children who exit from severe acute malnutrition treatment during the reporting period - Age: 24 - 59 Months</v>
      </c>
      <c r="K91" s="14" t="str">
        <f t="shared" si="2"/>
        <v>24.3 - Number of children who exit from severe acute malnutrition treatment during the reporting period - Age: 24 - 59 Months</v>
      </c>
      <c r="L91" s="10" t="str">
        <f t="shared" si="3"/>
        <v>24.3 - Number of children who exit from severe acute malnutrition treatment during the reporting period - Age: 24 - 59 Months(NUT_TX-U5MN_SAM_Ext_SC_9.3):Nutrition</v>
      </c>
    </row>
    <row r="92" spans="1:12" s="40" customFormat="1" ht="36.950000000000003" customHeight="1" thickBot="1" x14ac:dyDescent="0.3">
      <c r="A92" s="44" t="s">
        <v>840</v>
      </c>
      <c r="B92" s="43" t="s">
        <v>1296</v>
      </c>
      <c r="C92" s="6" t="s">
        <v>1162</v>
      </c>
      <c r="D92" s="74"/>
      <c r="E92" s="75"/>
      <c r="F92" s="40" t="s">
        <v>840</v>
      </c>
      <c r="G92" s="40" t="str">
        <f>VLOOKUP('working space'!A92,ordering!A:D,4,FALSE)</f>
        <v>25</v>
      </c>
      <c r="H92" s="40" t="s">
        <v>840</v>
      </c>
      <c r="I92" s="75" t="str">
        <f>_xlfn.CONCAT(B92, "(",A92,") :",C92)</f>
        <v>Total SAM at the beginning of the month for OTP(NUT_TX-U5MN_SAM_OTP) :Nutrition</v>
      </c>
      <c r="J92" s="43" t="s">
        <v>1296</v>
      </c>
      <c r="K92" s="75" t="str">
        <f t="shared" si="2"/>
        <v>25 - Total SAM at the beginning of the month for OTP</v>
      </c>
      <c r="L92" s="75" t="str">
        <f t="shared" si="3"/>
        <v>25 - Total SAM at the beginning of the month for OTP(NUT_TX-U5MN_SAM_OTP) :Nutrition</v>
      </c>
    </row>
    <row r="93" spans="1:12" ht="36.950000000000003" customHeight="1" thickBot="1" x14ac:dyDescent="0.3">
      <c r="A93" s="45" t="s">
        <v>842</v>
      </c>
      <c r="B93" s="43" t="s">
        <v>1299</v>
      </c>
      <c r="C93" s="6" t="s">
        <v>1162</v>
      </c>
      <c r="D93" s="4"/>
      <c r="E93" s="8"/>
      <c r="F93" t="s">
        <v>842</v>
      </c>
      <c r="G93" t="str">
        <f>VLOOKUP('working space'!A93,ordering!A:D,4,FALSE)</f>
        <v>26</v>
      </c>
      <c r="H93" t="s">
        <v>842</v>
      </c>
      <c r="I93" s="75" t="str">
        <f t="shared" ref="I93:I117" si="4">_xlfn.CONCAT(B93, "(",A93,") :",C93)</f>
        <v>Total number of children with SAM admitted to OTP during the reporting period(NUT_TX-U5MN_SAM_Adt_OTP) :Nutrition</v>
      </c>
      <c r="J93" s="43" t="s">
        <v>1299</v>
      </c>
      <c r="K93" s="14" t="str">
        <f t="shared" si="2"/>
        <v>26 - Total number of children with SAM admitted to OTP during the reporting period</v>
      </c>
      <c r="L93" s="10" t="str">
        <f t="shared" si="3"/>
        <v>26 - Total number of children with SAM admitted to OTP during the reporting period(NUT_TX-U5MN_SAM_Adt_OTP) :Nutrition</v>
      </c>
    </row>
    <row r="94" spans="1:12" ht="36.950000000000003" customHeight="1" thickBot="1" x14ac:dyDescent="0.3">
      <c r="A94" s="44" t="s">
        <v>844</v>
      </c>
      <c r="B94" s="44" t="s">
        <v>1426</v>
      </c>
      <c r="C94" s="6" t="s">
        <v>1162</v>
      </c>
      <c r="D94" s="4"/>
      <c r="E94" s="8"/>
      <c r="F94" t="s">
        <v>844</v>
      </c>
      <c r="G94" t="str">
        <f>VLOOKUP('working space'!A94,ordering!A:D,4,FALSE)</f>
        <v>27</v>
      </c>
      <c r="H94" t="s">
        <v>844</v>
      </c>
      <c r="I94" s="75" t="str">
        <f t="shared" si="4"/>
        <v>OTP Number of children cured(NUT_TX-U5MN_SAM_Cur_OTP_1) :Nutrition</v>
      </c>
      <c r="J94" s="44" t="s">
        <v>1426</v>
      </c>
      <c r="K94" s="14" t="str">
        <f t="shared" si="2"/>
        <v>27 - OTP Number of children cured</v>
      </c>
      <c r="L94" s="10" t="str">
        <f t="shared" si="3"/>
        <v>27 - OTP Number of children cured(NUT_TX-U5MN_SAM_Cur_OTP_1) :Nutrition</v>
      </c>
    </row>
    <row r="95" spans="1:12" ht="36.950000000000003" customHeight="1" thickBot="1" x14ac:dyDescent="0.3">
      <c r="A95" s="44" t="s">
        <v>846</v>
      </c>
      <c r="B95" s="44" t="s">
        <v>1427</v>
      </c>
      <c r="C95" s="6" t="s">
        <v>1162</v>
      </c>
      <c r="D95" s="4"/>
      <c r="E95" s="8"/>
      <c r="F95" t="s">
        <v>846</v>
      </c>
      <c r="G95" t="str">
        <f>VLOOKUP('working space'!A95,ordering!A:D,4,FALSE)</f>
        <v>28</v>
      </c>
      <c r="H95" t="s">
        <v>846</v>
      </c>
      <c r="I95" s="75" t="str">
        <f t="shared" si="4"/>
        <v>OTP Number of children died(NUT_TX-U5MN_SAM_died_OTP_2) :Nutrition</v>
      </c>
      <c r="J95" s="44" t="s">
        <v>1427</v>
      </c>
      <c r="K95" s="14" t="str">
        <f t="shared" si="2"/>
        <v>28 - OTP Number of children died</v>
      </c>
      <c r="L95" s="10" t="str">
        <f t="shared" si="3"/>
        <v>28 - OTP Number of children died(NUT_TX-U5MN_SAM_died_OTP_2) :Nutrition</v>
      </c>
    </row>
    <row r="96" spans="1:12" ht="36.950000000000003" customHeight="1" thickBot="1" x14ac:dyDescent="0.3">
      <c r="A96" s="44" t="s">
        <v>848</v>
      </c>
      <c r="B96" s="44" t="s">
        <v>1428</v>
      </c>
      <c r="C96" s="6" t="s">
        <v>1162</v>
      </c>
      <c r="D96" s="4"/>
      <c r="E96" s="8"/>
      <c r="F96" t="s">
        <v>848</v>
      </c>
      <c r="G96" t="str">
        <f>VLOOKUP('working space'!A96,ordering!A:D,4,FALSE)</f>
        <v>29</v>
      </c>
      <c r="H96" t="s">
        <v>848</v>
      </c>
      <c r="I96" s="75" t="str">
        <f t="shared" si="4"/>
        <v>OTP Number of children transferred out(NUT_TX-U5MN_SAM_TO_OTP_3) :Nutrition</v>
      </c>
      <c r="J96" s="44" t="s">
        <v>1428</v>
      </c>
      <c r="K96" s="14" t="str">
        <f t="shared" si="2"/>
        <v>29 - OTP Number of children transferred out</v>
      </c>
      <c r="L96" s="10" t="str">
        <f t="shared" si="3"/>
        <v>29 - OTP Number of children transferred out(NUT_TX-U5MN_SAM_TO_OTP_3) :Nutrition</v>
      </c>
    </row>
    <row r="97" spans="1:12" ht="36.950000000000003" customHeight="1" thickBot="1" x14ac:dyDescent="0.3">
      <c r="A97" s="44" t="s">
        <v>850</v>
      </c>
      <c r="B97" s="44" t="s">
        <v>1429</v>
      </c>
      <c r="C97" s="6" t="s">
        <v>1162</v>
      </c>
      <c r="D97" s="4"/>
      <c r="E97" s="8"/>
      <c r="F97" t="s">
        <v>850</v>
      </c>
      <c r="G97" t="str">
        <f>VLOOKUP('working space'!A97,ordering!A:D,4,FALSE)</f>
        <v>30</v>
      </c>
      <c r="H97" t="s">
        <v>850</v>
      </c>
      <c r="I97" s="75" t="str">
        <f t="shared" si="4"/>
        <v>OTP Number of children defaulted(NUT_TX-U5MN_SAM_Def_OTP_4) :Nutrition</v>
      </c>
      <c r="J97" s="44" t="s">
        <v>1429</v>
      </c>
      <c r="K97" s="14" t="str">
        <f t="shared" si="2"/>
        <v>30 - OTP Number of children defaulted</v>
      </c>
      <c r="L97" s="10" t="str">
        <f t="shared" si="3"/>
        <v>30 - OTP Number of children defaulted(NUT_TX-U5MN_SAM_Def_OTP_4) :Nutrition</v>
      </c>
    </row>
    <row r="98" spans="1:12" ht="36.950000000000003" customHeight="1" thickBot="1" x14ac:dyDescent="0.3">
      <c r="A98" s="44" t="s">
        <v>852</v>
      </c>
      <c r="B98" s="44" t="s">
        <v>1430</v>
      </c>
      <c r="C98" s="6" t="s">
        <v>1162</v>
      </c>
      <c r="D98" s="4"/>
      <c r="E98" s="8"/>
      <c r="F98" t="s">
        <v>852</v>
      </c>
      <c r="G98" t="str">
        <f>VLOOKUP('working space'!A98,ordering!A:D,4,FALSE)</f>
        <v>31</v>
      </c>
      <c r="H98" t="s">
        <v>852</v>
      </c>
      <c r="I98" s="75" t="str">
        <f t="shared" si="4"/>
        <v>OTP Number of children -non-respondent(NUT_TX-U5MN_SAM_NR_OTP_5) :Nutrition</v>
      </c>
      <c r="J98" s="44" t="s">
        <v>1430</v>
      </c>
      <c r="K98" s="14" t="str">
        <f t="shared" si="2"/>
        <v>31 - OTP Number of children -non-respondent</v>
      </c>
      <c r="L98" s="10" t="str">
        <f t="shared" si="3"/>
        <v>31 - OTP Number of children -non-respondent(NUT_TX-U5MN_SAM_NR_OTP_5) :Nutrition</v>
      </c>
    </row>
    <row r="99" spans="1:12" ht="36.950000000000003" customHeight="1" thickBot="1" x14ac:dyDescent="0.3">
      <c r="A99" s="45" t="s">
        <v>854</v>
      </c>
      <c r="B99" s="43" t="s">
        <v>1431</v>
      </c>
      <c r="C99" s="6" t="s">
        <v>1162</v>
      </c>
      <c r="D99" s="4"/>
      <c r="E99" s="8"/>
      <c r="F99" t="s">
        <v>854</v>
      </c>
      <c r="G99" t="str">
        <f>VLOOKUP('working space'!A99,ordering!A:D,4,FALSE)</f>
        <v>32</v>
      </c>
      <c r="H99" t="s">
        <v>854</v>
      </c>
      <c r="I99" s="75" t="str">
        <f t="shared" si="4"/>
        <v>OTP Number of children who exit from severe acute malnutrition treatment during the reporting period(NUT_TX-U5MN_SAM_Ext_OTP_E) :Nutrition</v>
      </c>
      <c r="J99" s="43" t="s">
        <v>1431</v>
      </c>
      <c r="K99" s="14" t="str">
        <f t="shared" si="2"/>
        <v>32 - OTP Number of children who exit from severe acute malnutrition treatment during the reporting period</v>
      </c>
      <c r="L99" s="10" t="str">
        <f t="shared" si="3"/>
        <v>32 - OTP Number of children who exit from severe acute malnutrition treatment during the reporting period(NUT_TX-U5MN_SAM_Ext_OTP_E) :Nutrition</v>
      </c>
    </row>
    <row r="100" spans="1:12" ht="36.950000000000003" customHeight="1" thickBot="1" x14ac:dyDescent="0.3">
      <c r="A100" s="45" t="s">
        <v>856</v>
      </c>
      <c r="B100" s="44" t="s">
        <v>1302</v>
      </c>
      <c r="C100" s="6" t="s">
        <v>1162</v>
      </c>
      <c r="D100" s="4"/>
      <c r="E100" s="8"/>
      <c r="F100" t="s">
        <v>856</v>
      </c>
      <c r="G100" t="str">
        <f>VLOOKUP('working space'!A100,ordering!A:D,4,FALSE)</f>
        <v>33</v>
      </c>
      <c r="H100" t="s">
        <v>856</v>
      </c>
      <c r="I100" s="75" t="str">
        <f t="shared" si="4"/>
        <v>Total MAM at the beginning of the month(NUT_TX-U5MN__MAM_Beging_OTP) :Nutrition</v>
      </c>
      <c r="J100" s="44" t="s">
        <v>1302</v>
      </c>
      <c r="K100" s="14" t="str">
        <f t="shared" si="2"/>
        <v>33 - Total MAM at the beginning of the month</v>
      </c>
      <c r="L100" s="10" t="str">
        <f t="shared" si="3"/>
        <v>33 - Total MAM at the beginning of the month(NUT_TX-U5MN__MAM_Beging_OTP) :Nutrition</v>
      </c>
    </row>
    <row r="101" spans="1:12" ht="36.950000000000003" customHeight="1" thickBot="1" x14ac:dyDescent="0.3">
      <c r="A101" s="45" t="s">
        <v>858</v>
      </c>
      <c r="B101" s="44" t="s">
        <v>1389</v>
      </c>
      <c r="C101" s="6" t="s">
        <v>1162</v>
      </c>
      <c r="D101" s="4"/>
      <c r="E101" s="8"/>
      <c r="F101" t="s">
        <v>858</v>
      </c>
      <c r="G101" t="str">
        <f>VLOOKUP('working space'!A101,ordering!A:D,4,FALSE)</f>
        <v>34</v>
      </c>
      <c r="H101" t="s">
        <v>858</v>
      </c>
      <c r="I101" s="75" t="str">
        <f t="shared" si="4"/>
        <v>Total number of children with MAM admitted to TSFP/IMAM during the reporting period(NUT_TX-U5MN_MAM_Adt_TSFP) :Nutrition</v>
      </c>
      <c r="J101" s="44" t="s">
        <v>1389</v>
      </c>
      <c r="K101" s="14" t="str">
        <f t="shared" si="2"/>
        <v>34 - Total number of children with MAM admitted to TSFP/IMAM during the reporting period</v>
      </c>
      <c r="L101" s="10" t="str">
        <f t="shared" si="3"/>
        <v>34 - Total number of children with MAM admitted to TSFP/IMAM during the reporting period(NUT_TX-U5MN_MAM_Adt_TSFP) :Nutrition</v>
      </c>
    </row>
    <row r="102" spans="1:12" ht="36.950000000000003" customHeight="1" thickBot="1" x14ac:dyDescent="0.3">
      <c r="A102" s="44" t="s">
        <v>862</v>
      </c>
      <c r="B102" s="47" t="s">
        <v>1432</v>
      </c>
      <c r="C102" s="6" t="s">
        <v>1162</v>
      </c>
      <c r="D102" s="4"/>
      <c r="E102" s="8"/>
      <c r="F102" t="s">
        <v>862</v>
      </c>
      <c r="G102" t="str">
        <f>VLOOKUP('working space'!A102,ordering!A:D,4,FALSE)</f>
        <v>35</v>
      </c>
      <c r="H102" t="s">
        <v>862</v>
      </c>
      <c r="I102" s="75" t="str">
        <f t="shared" si="4"/>
        <v>TSFP Number of children cured(NUT_TX-U5MN_SAM_Cur_TSFP_1) :Nutrition</v>
      </c>
      <c r="J102" s="47" t="s">
        <v>1432</v>
      </c>
      <c r="K102" s="14" t="str">
        <f t="shared" si="2"/>
        <v>35 - TSFP Number of children cured</v>
      </c>
      <c r="L102" s="10" t="str">
        <f t="shared" si="3"/>
        <v>35 - TSFP Number of children cured(NUT_TX-U5MN_SAM_Cur_TSFP_1) :Nutrition</v>
      </c>
    </row>
    <row r="103" spans="1:12" ht="36.950000000000003" customHeight="1" thickBot="1" x14ac:dyDescent="0.3">
      <c r="A103" s="44" t="s">
        <v>864</v>
      </c>
      <c r="B103" s="47" t="s">
        <v>1433</v>
      </c>
      <c r="C103" s="6" t="s">
        <v>1162</v>
      </c>
      <c r="D103" s="4"/>
      <c r="E103" s="8"/>
      <c r="F103" t="s">
        <v>864</v>
      </c>
      <c r="G103" t="str">
        <f>VLOOKUP('working space'!A103,ordering!A:D,4,FALSE)</f>
        <v>36</v>
      </c>
      <c r="H103" t="s">
        <v>864</v>
      </c>
      <c r="I103" s="75" t="str">
        <f t="shared" si="4"/>
        <v>TSFP Number of children died(NUT_TX-U5MN_SAM_died_TSFP_2) :Nutrition</v>
      </c>
      <c r="J103" s="47" t="s">
        <v>1433</v>
      </c>
      <c r="K103" s="14" t="str">
        <f t="shared" si="2"/>
        <v>36 - TSFP Number of children died</v>
      </c>
      <c r="L103" s="10" t="str">
        <f t="shared" si="3"/>
        <v>36 - TSFP Number of children died(NUT_TX-U5MN_SAM_died_TSFP_2) :Nutrition</v>
      </c>
    </row>
    <row r="104" spans="1:12" ht="36.950000000000003" customHeight="1" thickBot="1" x14ac:dyDescent="0.3">
      <c r="A104" s="44" t="s">
        <v>866</v>
      </c>
      <c r="B104" s="47" t="s">
        <v>1434</v>
      </c>
      <c r="C104" s="6" t="s">
        <v>1162</v>
      </c>
      <c r="D104" s="4"/>
      <c r="E104" s="8"/>
      <c r="F104" t="s">
        <v>866</v>
      </c>
      <c r="G104" t="str">
        <f>VLOOKUP('working space'!A104,ordering!A:D,4,FALSE)</f>
        <v>37</v>
      </c>
      <c r="H104" t="s">
        <v>866</v>
      </c>
      <c r="I104" s="75" t="str">
        <f t="shared" si="4"/>
        <v>TSFP Number of children transferred out(NUT_TX-U5MN_SAM_TO_TSFP_3) :Nutrition</v>
      </c>
      <c r="J104" s="47" t="s">
        <v>1434</v>
      </c>
      <c r="K104" s="14" t="str">
        <f t="shared" si="2"/>
        <v>37 - TSFP Number of children transferred out</v>
      </c>
      <c r="L104" s="10" t="str">
        <f t="shared" si="3"/>
        <v>37 - TSFP Number of children transferred out(NUT_TX-U5MN_SAM_TO_TSFP_3) :Nutrition</v>
      </c>
    </row>
    <row r="105" spans="1:12" ht="36.950000000000003" customHeight="1" thickBot="1" x14ac:dyDescent="0.3">
      <c r="A105" s="44" t="s">
        <v>868</v>
      </c>
      <c r="B105" s="47" t="s">
        <v>1435</v>
      </c>
      <c r="C105" s="6" t="s">
        <v>1162</v>
      </c>
      <c r="D105" s="4"/>
      <c r="E105" s="8"/>
      <c r="F105" t="s">
        <v>868</v>
      </c>
      <c r="G105" t="str">
        <f>VLOOKUP('working space'!A105,ordering!A:D,4,FALSE)</f>
        <v>38</v>
      </c>
      <c r="H105" t="s">
        <v>868</v>
      </c>
      <c r="I105" s="75" t="str">
        <f t="shared" si="4"/>
        <v>TSFP Number of children defaulted(NUT_TX-U5MN_SAM_Def_TSFP_4) :Nutrition</v>
      </c>
      <c r="J105" s="47" t="s">
        <v>1435</v>
      </c>
      <c r="K105" s="14" t="str">
        <f t="shared" si="2"/>
        <v>38 - TSFP Number of children defaulted</v>
      </c>
      <c r="L105" s="10" t="str">
        <f t="shared" si="3"/>
        <v>38 - TSFP Number of children defaulted(NUT_TX-U5MN_SAM_Def_TSFP_4) :Nutrition</v>
      </c>
    </row>
    <row r="106" spans="1:12" ht="36.950000000000003" customHeight="1" thickBot="1" x14ac:dyDescent="0.3">
      <c r="A106" s="44" t="s">
        <v>870</v>
      </c>
      <c r="B106" s="47" t="s">
        <v>1436</v>
      </c>
      <c r="C106" s="6" t="s">
        <v>1162</v>
      </c>
      <c r="D106" s="4"/>
      <c r="E106" s="8"/>
      <c r="F106" t="s">
        <v>870</v>
      </c>
      <c r="G106" t="str">
        <f>VLOOKUP('working space'!A106,ordering!A:D,4,FALSE)</f>
        <v>39</v>
      </c>
      <c r="H106" t="s">
        <v>870</v>
      </c>
      <c r="I106" s="75" t="str">
        <f t="shared" si="4"/>
        <v>TSFP Number of children -non-respondent(NUT_TX-U5MN_SAM_NR_TSFP_5) :Nutrition</v>
      </c>
      <c r="J106" s="47" t="s">
        <v>1436</v>
      </c>
      <c r="K106" s="14" t="str">
        <f t="shared" si="2"/>
        <v>39 - TSFP Number of children -non-respondent</v>
      </c>
      <c r="L106" s="10" t="str">
        <f t="shared" si="3"/>
        <v>39 - TSFP Number of children -non-respondent(NUT_TX-U5MN_SAM_NR_TSFP_5) :Nutrition</v>
      </c>
    </row>
    <row r="107" spans="1:12" ht="36.950000000000003" customHeight="1" thickBot="1" x14ac:dyDescent="0.3">
      <c r="A107" s="48" t="s">
        <v>872</v>
      </c>
      <c r="B107" s="49" t="s">
        <v>1305</v>
      </c>
      <c r="C107" s="6" t="s">
        <v>1162</v>
      </c>
      <c r="D107" s="4"/>
      <c r="E107" s="8"/>
      <c r="F107" t="s">
        <v>872</v>
      </c>
      <c r="G107" t="str">
        <f>VLOOKUP('working space'!A107,ordering!A:D,4,FALSE)</f>
        <v>40</v>
      </c>
      <c r="H107" t="s">
        <v>872</v>
      </c>
      <c r="I107" s="75" t="str">
        <f t="shared" si="4"/>
        <v>Number of children who exit from MAM treatment during the reporting period(NUT_TX-U5MN__SAM_Ext_TSFP_E) :Nutrition</v>
      </c>
      <c r="J107" s="49" t="s">
        <v>1305</v>
      </c>
      <c r="K107" s="14" t="str">
        <f t="shared" si="2"/>
        <v>40 - Number of children who exit from MAM treatment during the reporting period</v>
      </c>
      <c r="L107" s="10" t="str">
        <f t="shared" si="3"/>
        <v>40 - Number of children who exit from MAM treatment during the reporting period(NUT_TX-U5MN__SAM_Ext_TSFP_E) :Nutrition</v>
      </c>
    </row>
    <row r="108" spans="1:12" ht="36.950000000000003" customHeight="1" thickTop="1" thickBot="1" x14ac:dyDescent="0.3">
      <c r="A108" s="38" t="s">
        <v>874</v>
      </c>
      <c r="B108" s="39" t="s">
        <v>1302</v>
      </c>
      <c r="C108" s="6" t="s">
        <v>1162</v>
      </c>
      <c r="D108" s="4"/>
      <c r="E108" s="8"/>
      <c r="F108" t="s">
        <v>874</v>
      </c>
      <c r="G108" t="str">
        <f>VLOOKUP('working space'!A108,ordering!A:D,4,FALSE)</f>
        <v>41</v>
      </c>
      <c r="H108" t="s">
        <v>874</v>
      </c>
      <c r="I108" s="75" t="str">
        <f t="shared" si="4"/>
        <v>Total MAM at the beginning of the month(NUT_TX-U5MN_MAM_Beging_OTP) :Nutrition</v>
      </c>
      <c r="J108" s="39" t="s">
        <v>1302</v>
      </c>
      <c r="K108" s="14" t="str">
        <f t="shared" si="2"/>
        <v>41 - Total MAM at the beginning of the month</v>
      </c>
      <c r="L108" s="10" t="str">
        <f t="shared" si="3"/>
        <v>41 - Total MAM at the beginning of the month(NUT_TX-U5MN_MAM_Beging_OTP) :Nutrition</v>
      </c>
    </row>
    <row r="109" spans="1:12" ht="36.950000000000003" customHeight="1" thickBot="1" x14ac:dyDescent="0.3">
      <c r="A109" s="38" t="s">
        <v>876</v>
      </c>
      <c r="B109" s="39" t="s">
        <v>1392</v>
      </c>
      <c r="C109" s="6" t="s">
        <v>1162</v>
      </c>
      <c r="D109" s="4"/>
      <c r="E109" s="8"/>
      <c r="F109" t="s">
        <v>876</v>
      </c>
      <c r="G109" t="str">
        <f>VLOOKUP('working space'!A109,ordering!A:D,4,FALSE)</f>
        <v>42</v>
      </c>
      <c r="H109" t="s">
        <v>876</v>
      </c>
      <c r="I109" s="75" t="str">
        <f t="shared" si="4"/>
        <v>Total number of PLW with MAM admitted to TSFP/IMAM during the reporting period(NUT_TX-U5MN_MAM_Adt_OTP) :Nutrition</v>
      </c>
      <c r="J109" s="39" t="s">
        <v>1392</v>
      </c>
      <c r="K109" s="14" t="str">
        <f t="shared" si="2"/>
        <v>42 - Total number of PLW with MAM admitted to TSFP/IMAM during the reporting period</v>
      </c>
      <c r="L109" s="10" t="str">
        <f t="shared" si="3"/>
        <v>42 - Total number of PLW with MAM admitted to TSFP/IMAM during the reporting period(NUT_TX-U5MN_MAM_Adt_OTP) :Nutrition</v>
      </c>
    </row>
    <row r="110" spans="1:12" ht="36.950000000000003" customHeight="1" thickBot="1" x14ac:dyDescent="0.3">
      <c r="A110" s="51" t="s">
        <v>878</v>
      </c>
      <c r="B110" s="51" t="s">
        <v>1393</v>
      </c>
      <c r="C110" s="6" t="s">
        <v>1162</v>
      </c>
      <c r="D110" s="4"/>
      <c r="E110" s="8"/>
      <c r="F110" t="s">
        <v>878</v>
      </c>
      <c r="G110" t="str">
        <f>VLOOKUP('working space'!A110,ordering!A:D,4,FALSE)</f>
        <v>43</v>
      </c>
      <c r="H110" t="s">
        <v>878</v>
      </c>
      <c r="I110" s="75" t="str">
        <f t="shared" si="4"/>
        <v>Number of plw cured(NUT_TX-U5MN_Cur_TSFP_1) :Nutrition</v>
      </c>
      <c r="J110" s="51" t="s">
        <v>1393</v>
      </c>
      <c r="K110" s="14" t="str">
        <f t="shared" si="2"/>
        <v>43 - Number of plw cured</v>
      </c>
      <c r="L110" s="10" t="str">
        <f t="shared" si="3"/>
        <v>43 - Number of plw cured(NUT_TX-U5MN_Cur_TSFP_1) :Nutrition</v>
      </c>
    </row>
    <row r="111" spans="1:12" ht="36.950000000000003" customHeight="1" thickBot="1" x14ac:dyDescent="0.3">
      <c r="A111" s="51" t="s">
        <v>880</v>
      </c>
      <c r="B111" s="51" t="s">
        <v>1394</v>
      </c>
      <c r="C111" s="6" t="s">
        <v>1162</v>
      </c>
      <c r="D111" s="4"/>
      <c r="E111" s="8"/>
      <c r="F111" t="s">
        <v>880</v>
      </c>
      <c r="G111" t="str">
        <f>VLOOKUP('working space'!A111,ordering!A:D,4,FALSE)</f>
        <v>44</v>
      </c>
      <c r="H111" t="s">
        <v>880</v>
      </c>
      <c r="I111" s="75" t="str">
        <f t="shared" si="4"/>
        <v>Number of plw died(NUT_TX-U5MN_died_TSFP_2) :Nutrition</v>
      </c>
      <c r="J111" s="51" t="s">
        <v>1394</v>
      </c>
      <c r="K111" s="14" t="str">
        <f t="shared" si="2"/>
        <v>44 - Number of plw died</v>
      </c>
      <c r="L111" s="10" t="str">
        <f t="shared" si="3"/>
        <v>44 - Number of plw died(NUT_TX-U5MN_died_TSFP_2) :Nutrition</v>
      </c>
    </row>
    <row r="112" spans="1:12" ht="36.950000000000003" customHeight="1" thickBot="1" x14ac:dyDescent="0.3">
      <c r="A112" s="51" t="s">
        <v>882</v>
      </c>
      <c r="B112" s="51" t="s">
        <v>1395</v>
      </c>
      <c r="C112" s="6" t="s">
        <v>1162</v>
      </c>
      <c r="D112" s="4"/>
      <c r="E112" s="8"/>
      <c r="F112" t="s">
        <v>882</v>
      </c>
      <c r="G112" t="str">
        <f>VLOOKUP('working space'!A112,ordering!A:D,4,FALSE)</f>
        <v>45</v>
      </c>
      <c r="H112" t="s">
        <v>882</v>
      </c>
      <c r="I112" s="75" t="str">
        <f t="shared" si="4"/>
        <v>Number of plw transferred out(NUT_TX-U5MN_TO_TSFP_3) :Nutrition</v>
      </c>
      <c r="J112" s="51" t="s">
        <v>1395</v>
      </c>
      <c r="K112" s="14" t="str">
        <f t="shared" si="2"/>
        <v>45 - Number of plw transferred out</v>
      </c>
      <c r="L112" s="10" t="str">
        <f t="shared" si="3"/>
        <v>45 - Number of plw transferred out(NUT_TX-U5MN_TO_TSFP_3) :Nutrition</v>
      </c>
    </row>
    <row r="113" spans="1:12" ht="36.950000000000003" customHeight="1" thickBot="1" x14ac:dyDescent="0.3">
      <c r="A113" s="51" t="s">
        <v>1396</v>
      </c>
      <c r="B113" s="51" t="s">
        <v>1397</v>
      </c>
      <c r="C113" s="6" t="s">
        <v>1162</v>
      </c>
      <c r="D113" s="4"/>
      <c r="E113" s="8"/>
      <c r="F113" t="s">
        <v>884</v>
      </c>
      <c r="G113" t="str">
        <f>VLOOKUP('working space'!A113,ordering!A:D,4,FALSE)</f>
        <v>46</v>
      </c>
      <c r="H113" t="s">
        <v>884</v>
      </c>
      <c r="I113" s="75" t="str">
        <f t="shared" si="4"/>
        <v>Number of plw defaulted(NUT_TX-U5MN_.Def_TSFP_4) :Nutrition</v>
      </c>
      <c r="J113" s="51" t="s">
        <v>1397</v>
      </c>
      <c r="K113" s="14" t="str">
        <f t="shared" si="2"/>
        <v>46 - Number of plw defaulted</v>
      </c>
      <c r="L113" s="10" t="str">
        <f t="shared" si="3"/>
        <v>46 - Number of plw defaulted(NUT_TX-U5MN_.Def_TSFP_4) :Nutrition</v>
      </c>
    </row>
    <row r="114" spans="1:12" ht="36.950000000000003" customHeight="1" thickBot="1" x14ac:dyDescent="0.3">
      <c r="A114" s="51" t="s">
        <v>1398</v>
      </c>
      <c r="B114" s="51" t="s">
        <v>1399</v>
      </c>
      <c r="C114" s="6" t="s">
        <v>1162</v>
      </c>
      <c r="D114" s="4"/>
      <c r="E114" s="8"/>
      <c r="F114" t="s">
        <v>886</v>
      </c>
      <c r="G114" t="str">
        <f>VLOOKUP('working space'!A114,ordering!A:D,4,FALSE)</f>
        <v>47</v>
      </c>
      <c r="H114" t="s">
        <v>886</v>
      </c>
      <c r="I114" s="75" t="str">
        <f t="shared" si="4"/>
        <v>Number of plw -non-respondent(NUT_TX-U5MN_MAM_.NR_TSFP_5) :Nutrition</v>
      </c>
      <c r="J114" s="51" t="s">
        <v>1399</v>
      </c>
      <c r="K114" s="14" t="str">
        <f t="shared" si="2"/>
        <v>47 - Number of plw -non-respondent</v>
      </c>
      <c r="L114" s="10" t="str">
        <f t="shared" si="3"/>
        <v>47 - Number of plw -non-respondent(NUT_TX-U5MN_MAM_.NR_TSFP_5) :Nutrition</v>
      </c>
    </row>
    <row r="115" spans="1:12" ht="36.950000000000003" customHeight="1" thickBot="1" x14ac:dyDescent="0.3">
      <c r="A115" s="38" t="s">
        <v>888</v>
      </c>
      <c r="B115" s="39" t="s">
        <v>1400</v>
      </c>
      <c r="C115" s="6" t="s">
        <v>1162</v>
      </c>
      <c r="D115" s="4"/>
      <c r="E115" s="8"/>
      <c r="F115" t="s">
        <v>888</v>
      </c>
      <c r="G115" t="str">
        <f>VLOOKUP('working space'!A115,ordering!A:D,4,FALSE)</f>
        <v>48</v>
      </c>
      <c r="H115" t="s">
        <v>888</v>
      </c>
      <c r="I115" s="75" t="str">
        <f t="shared" si="4"/>
        <v>Number of PLW who exit from MAM treatment during the reporting period(NUT_TX-U5MN_MAM-Ext_TSFP_E) :Nutrition</v>
      </c>
      <c r="J115" s="39" t="s">
        <v>1400</v>
      </c>
      <c r="K115" s="14" t="str">
        <f t="shared" si="2"/>
        <v>48 - Number of PLW who exit from MAM treatment during the reporting period</v>
      </c>
      <c r="L115" s="10" t="str">
        <f t="shared" si="3"/>
        <v>48 - Number of PLW who exit from MAM treatment during the reporting period(NUT_TX-U5MN_MAM-Ext_TSFP_E) :Nutrition</v>
      </c>
    </row>
    <row r="116" spans="1:12" ht="36.950000000000003" customHeight="1" thickBot="1" x14ac:dyDescent="0.3">
      <c r="A116" s="70" t="s">
        <v>1297</v>
      </c>
      <c r="B116" s="71" t="s">
        <v>1298</v>
      </c>
      <c r="C116" s="6" t="s">
        <v>1162</v>
      </c>
      <c r="D116" s="4"/>
      <c r="E116" s="8"/>
      <c r="F116" s="57" t="s">
        <v>892</v>
      </c>
      <c r="G116" t="str">
        <f>VLOOKUP('working space'!A116,ordering!A:D,4,FALSE)</f>
        <v>49</v>
      </c>
      <c r="H116" s="57" t="s">
        <v>892</v>
      </c>
      <c r="I116" s="75" t="str">
        <f t="shared" si="4"/>
        <v>OTP_Number of children unknown status(NUT_TX-U5MN_SAM_us_OTP_8.) :Nutrition</v>
      </c>
      <c r="J116" s="71" t="s">
        <v>1298</v>
      </c>
      <c r="K116" s="14" t="str">
        <f t="shared" si="2"/>
        <v>49 - OTP_Number of children unknown status</v>
      </c>
      <c r="L116" s="10" t="str">
        <f t="shared" si="3"/>
        <v>49 - OTP_Number of children unknown status(NUT_TX-U5MN_SAM_us_OTP_8.) :Nutrition</v>
      </c>
    </row>
    <row r="117" spans="1:12" ht="36.950000000000003" customHeight="1" thickBot="1" x14ac:dyDescent="0.3">
      <c r="A117" s="70" t="s">
        <v>1303</v>
      </c>
      <c r="B117" s="71" t="s">
        <v>1304</v>
      </c>
      <c r="C117" s="6" t="s">
        <v>1162</v>
      </c>
      <c r="D117" s="4"/>
      <c r="E117" s="8"/>
      <c r="F117" t="s">
        <v>894</v>
      </c>
      <c r="G117" t="str">
        <f>VLOOKUP('working space'!A117,ordering!A:D,4,FALSE)</f>
        <v>50</v>
      </c>
      <c r="H117" t="s">
        <v>894</v>
      </c>
      <c r="I117" s="75" t="str">
        <f t="shared" si="4"/>
        <v>MAM_Number of children unknown status(NUT_TX-U5MN_SAM_US_TSFP_8.) :Nutrition</v>
      </c>
      <c r="J117" s="71" t="s">
        <v>1304</v>
      </c>
      <c r="K117" s="14" t="str">
        <f t="shared" si="2"/>
        <v>50 - MAM_Number of children unknown status</v>
      </c>
      <c r="L117" s="10" t="str">
        <f t="shared" si="3"/>
        <v>50 - MAM_Number of children unknown status(NUT_TX-U5MN_SAM_US_TSFP_8.) :Nutrition</v>
      </c>
    </row>
    <row r="118" spans="1:12" ht="36.950000000000003" customHeight="1" thickBot="1" x14ac:dyDescent="0.3">
      <c r="A118" s="70"/>
      <c r="B118" s="71"/>
      <c r="C118" s="6"/>
      <c r="D118" s="4"/>
      <c r="E118" s="8"/>
      <c r="F118" s="57"/>
      <c r="H118" s="57"/>
    </row>
    <row r="119" spans="1:12" ht="36.950000000000003" customHeight="1" thickBot="1" x14ac:dyDescent="0.3">
      <c r="A119" s="70"/>
      <c r="B119" s="71"/>
      <c r="C119" s="6"/>
      <c r="D119" s="4"/>
      <c r="E119" s="8"/>
      <c r="H119"/>
    </row>
    <row r="120" spans="1:12" ht="36.950000000000003" customHeight="1" thickBot="1" x14ac:dyDescent="0.3">
      <c r="A120" s="57"/>
      <c r="B120" s="57"/>
      <c r="D120" s="4"/>
      <c r="E120" s="8"/>
    </row>
    <row r="121" spans="1:12" ht="36.950000000000003" customHeight="1" thickBot="1" x14ac:dyDescent="0.3">
      <c r="A121" s="57"/>
      <c r="B121" s="57"/>
      <c r="D121" s="4"/>
      <c r="E121" s="8"/>
    </row>
    <row r="122" spans="1:12" ht="36.950000000000003" customHeight="1" thickBot="1" x14ac:dyDescent="0.3">
      <c r="A122" s="57"/>
      <c r="B122" s="57"/>
      <c r="D122" s="4"/>
      <c r="E122" s="8"/>
    </row>
    <row r="123" spans="1:12" ht="36.950000000000003" customHeight="1" thickBot="1" x14ac:dyDescent="0.3">
      <c r="A123" s="57"/>
      <c r="B123" s="57"/>
      <c r="D123" s="4"/>
      <c r="E123" s="8"/>
    </row>
    <row r="124" spans="1:12" ht="36.950000000000003" customHeight="1" thickBot="1" x14ac:dyDescent="0.3">
      <c r="A124" s="57"/>
      <c r="B124" s="57"/>
      <c r="D124" s="4"/>
      <c r="E124" s="8"/>
    </row>
    <row r="125" spans="1:12" ht="36.950000000000003" customHeight="1" thickBot="1" x14ac:dyDescent="0.3">
      <c r="A125" s="57"/>
      <c r="B125" s="57"/>
      <c r="D125" s="4"/>
      <c r="E125" s="8"/>
    </row>
    <row r="126" spans="1:12" ht="36.950000000000003" customHeight="1" thickBot="1" x14ac:dyDescent="0.3">
      <c r="A126" s="57"/>
      <c r="B126" s="57"/>
      <c r="D126" s="4"/>
      <c r="E126" s="8"/>
    </row>
    <row r="127" spans="1:12" ht="36.950000000000003" customHeight="1" thickBot="1" x14ac:dyDescent="0.3">
      <c r="A127" s="57"/>
      <c r="B127" s="57"/>
      <c r="D127" s="4"/>
      <c r="E127" s="8"/>
    </row>
    <row r="128" spans="1:12" ht="36.950000000000003" customHeight="1" thickBot="1" x14ac:dyDescent="0.3">
      <c r="A128" s="57"/>
      <c r="B128" s="57"/>
      <c r="D128" s="4"/>
      <c r="E128" s="8"/>
    </row>
    <row r="129" spans="1:5" ht="36.950000000000003" customHeight="1" thickBot="1" x14ac:dyDescent="0.3">
      <c r="A129" s="57"/>
      <c r="B129" s="57"/>
      <c r="D129" s="4"/>
      <c r="E129" s="8"/>
    </row>
    <row r="130" spans="1:5" ht="36.950000000000003" customHeight="1" thickBot="1" x14ac:dyDescent="0.3">
      <c r="A130" s="57"/>
      <c r="B130" s="57"/>
      <c r="D130" s="4"/>
      <c r="E130" s="8"/>
    </row>
    <row r="131" spans="1:5" ht="36.950000000000003" customHeight="1" thickBot="1" x14ac:dyDescent="0.3">
      <c r="A131" s="57"/>
      <c r="B131" s="57"/>
      <c r="D131" s="4"/>
      <c r="E131" s="8"/>
    </row>
    <row r="132" spans="1:5" ht="36.950000000000003" customHeight="1" thickBot="1" x14ac:dyDescent="0.3">
      <c r="A132" s="57"/>
      <c r="B132" s="57"/>
      <c r="D132" s="4"/>
      <c r="E132" s="8"/>
    </row>
    <row r="133" spans="1:5" ht="36.950000000000003" customHeight="1" thickBot="1" x14ac:dyDescent="0.3">
      <c r="A133" s="57"/>
      <c r="B133" s="57"/>
      <c r="D133" s="4"/>
      <c r="E133" s="8"/>
    </row>
    <row r="134" spans="1:5" ht="36.950000000000003" customHeight="1" thickBot="1" x14ac:dyDescent="0.3">
      <c r="A134" s="57"/>
      <c r="B134" s="57"/>
      <c r="D134" s="4"/>
      <c r="E134" s="8"/>
    </row>
    <row r="135" spans="1:5" ht="36.950000000000003" customHeight="1" thickBot="1" x14ac:dyDescent="0.3">
      <c r="A135" s="57"/>
      <c r="B135" s="57"/>
      <c r="D135" s="4"/>
      <c r="E135" s="8"/>
    </row>
    <row r="136" spans="1:5" ht="36.950000000000003" customHeight="1" thickBot="1" x14ac:dyDescent="0.3">
      <c r="A136" s="57"/>
      <c r="B136" s="57"/>
      <c r="D136" s="4"/>
      <c r="E136" s="8"/>
    </row>
    <row r="137" spans="1:5" ht="36.950000000000003" customHeight="1" thickBot="1" x14ac:dyDescent="0.3">
      <c r="A137" s="57"/>
      <c r="B137" s="57"/>
      <c r="D137" s="4"/>
      <c r="E137" s="8"/>
    </row>
    <row r="138" spans="1:5" ht="36.950000000000003" customHeight="1" thickBot="1" x14ac:dyDescent="0.3">
      <c r="A138" s="57"/>
      <c r="B138" s="57"/>
      <c r="D138" s="4"/>
      <c r="E138" s="8"/>
    </row>
    <row r="139" spans="1:5" ht="36.950000000000003" customHeight="1" thickBot="1" x14ac:dyDescent="0.3">
      <c r="A139" s="57"/>
      <c r="B139" s="57"/>
      <c r="D139" s="4"/>
      <c r="E139" s="8"/>
    </row>
    <row r="140" spans="1:5" ht="36.950000000000003" customHeight="1" thickBot="1" x14ac:dyDescent="0.3">
      <c r="A140" s="57"/>
      <c r="B140" s="57"/>
      <c r="D140" s="4"/>
      <c r="E140" s="8"/>
    </row>
    <row r="141" spans="1:5" ht="36.950000000000003" customHeight="1" thickBot="1" x14ac:dyDescent="0.3">
      <c r="A141" s="57"/>
      <c r="B141" s="57"/>
      <c r="D141" s="4"/>
      <c r="E141" s="8"/>
    </row>
    <row r="142" spans="1:5" ht="36.950000000000003" customHeight="1" thickBot="1" x14ac:dyDescent="0.3">
      <c r="A142" s="57"/>
      <c r="B142" s="57"/>
      <c r="D142" s="4"/>
      <c r="E142" s="8"/>
    </row>
    <row r="143" spans="1:5" ht="36.950000000000003" customHeight="1" thickBot="1" x14ac:dyDescent="0.3">
      <c r="A143" s="57"/>
      <c r="B143" s="57"/>
      <c r="D143" s="4"/>
      <c r="E143" s="8"/>
    </row>
    <row r="144" spans="1:5" ht="36.950000000000003" customHeight="1" thickBot="1" x14ac:dyDescent="0.3">
      <c r="A144" s="57"/>
      <c r="B144" s="57"/>
      <c r="D144" s="4"/>
      <c r="E144" s="8"/>
    </row>
    <row r="145" spans="1:5" ht="36.950000000000003" customHeight="1" thickBot="1" x14ac:dyDescent="0.3">
      <c r="A145" s="57"/>
      <c r="B145" s="57"/>
      <c r="D145" s="4"/>
      <c r="E145" s="8"/>
    </row>
    <row r="146" spans="1:5" ht="36.950000000000003" customHeight="1" thickBot="1" x14ac:dyDescent="0.3">
      <c r="A146" s="57"/>
      <c r="B146" s="57"/>
      <c r="D146" s="4"/>
      <c r="E146" s="8"/>
    </row>
    <row r="147" spans="1:5" ht="36.950000000000003" customHeight="1" thickBot="1" x14ac:dyDescent="0.3">
      <c r="A147" s="57"/>
      <c r="B147" s="57"/>
      <c r="D147" s="4"/>
      <c r="E147" s="8"/>
    </row>
    <row r="148" spans="1:5" ht="36.950000000000003" customHeight="1" thickBot="1" x14ac:dyDescent="0.3">
      <c r="A148" s="57"/>
      <c r="B148" s="57"/>
      <c r="D148" s="4"/>
      <c r="E148" s="8"/>
    </row>
    <row r="149" spans="1:5" ht="36.950000000000003" customHeight="1" thickBot="1" x14ac:dyDescent="0.3">
      <c r="A149" s="57"/>
      <c r="B149" s="57"/>
      <c r="D149" s="4"/>
      <c r="E149" s="8"/>
    </row>
    <row r="150" spans="1:5" ht="36.950000000000003" customHeight="1" thickBot="1" x14ac:dyDescent="0.3">
      <c r="A150" s="57"/>
      <c r="B150" s="57"/>
      <c r="D150" s="4"/>
      <c r="E150" s="8"/>
    </row>
    <row r="151" spans="1:5" ht="36.950000000000003" customHeight="1" thickBot="1" x14ac:dyDescent="0.3">
      <c r="A151" s="57"/>
      <c r="B151" s="57"/>
      <c r="D151" s="4"/>
      <c r="E151" s="8"/>
    </row>
    <row r="152" spans="1:5" ht="36.950000000000003" customHeight="1" thickBot="1" x14ac:dyDescent="0.3">
      <c r="A152" s="57"/>
      <c r="B152" s="57"/>
      <c r="D152" s="4"/>
      <c r="E152" s="8"/>
    </row>
    <row r="153" spans="1:5" ht="36.950000000000003" customHeight="1" thickBot="1" x14ac:dyDescent="0.3">
      <c r="A153" s="57"/>
      <c r="B153" s="57"/>
      <c r="D153" s="4"/>
      <c r="E153" s="8"/>
    </row>
    <row r="154" spans="1:5" ht="36.950000000000003" customHeight="1" thickBot="1" x14ac:dyDescent="0.3">
      <c r="A154" s="57"/>
      <c r="B154" s="57"/>
      <c r="D154" s="4"/>
      <c r="E154" s="8"/>
    </row>
    <row r="155" spans="1:5" ht="36.950000000000003" customHeight="1" thickBot="1" x14ac:dyDescent="0.3">
      <c r="A155" s="57"/>
      <c r="B155" s="57"/>
      <c r="D155" s="4"/>
      <c r="E155" s="8"/>
    </row>
    <row r="156" spans="1:5" ht="36.950000000000003" customHeight="1" thickBot="1" x14ac:dyDescent="0.3">
      <c r="A156" s="57"/>
      <c r="B156" s="57"/>
      <c r="D156" s="4"/>
      <c r="E156" s="8"/>
    </row>
    <row r="157" spans="1:5" ht="36.950000000000003" customHeight="1" thickBot="1" x14ac:dyDescent="0.3">
      <c r="A157" s="57"/>
      <c r="B157" s="57"/>
      <c r="D157" s="4"/>
      <c r="E157" s="8"/>
    </row>
    <row r="158" spans="1:5" ht="36.950000000000003" customHeight="1" thickBot="1" x14ac:dyDescent="0.3">
      <c r="A158" s="57"/>
      <c r="B158" s="57"/>
      <c r="D158" s="4"/>
      <c r="E158" s="8"/>
    </row>
    <row r="159" spans="1:5" ht="36.950000000000003" customHeight="1" thickBot="1" x14ac:dyDescent="0.3">
      <c r="A159" s="57"/>
      <c r="B159" s="57"/>
      <c r="D159" s="4"/>
      <c r="E159" s="8"/>
    </row>
    <row r="160" spans="1:5" ht="36.950000000000003" customHeight="1" thickBot="1" x14ac:dyDescent="0.3">
      <c r="A160" s="56"/>
      <c r="B160" s="56"/>
      <c r="C160" s="4"/>
      <c r="D160" s="4"/>
      <c r="E160" s="8"/>
    </row>
    <row r="161" spans="1:5" ht="36.950000000000003" customHeight="1" thickBot="1" x14ac:dyDescent="0.3">
      <c r="A161" s="56"/>
      <c r="B161" s="56"/>
      <c r="C161" s="4"/>
      <c r="D161" s="4"/>
      <c r="E161" s="8"/>
    </row>
    <row r="162" spans="1:5" ht="36.950000000000003" customHeight="1" thickBot="1" x14ac:dyDescent="0.3">
      <c r="A162" s="56"/>
      <c r="B162" s="56"/>
      <c r="C162" s="4"/>
      <c r="D162" s="4"/>
      <c r="E162" s="8"/>
    </row>
    <row r="163" spans="1:5" ht="36.950000000000003" customHeight="1" thickBot="1" x14ac:dyDescent="0.3">
      <c r="A163" s="56"/>
      <c r="B163" s="56"/>
      <c r="C163" s="4"/>
      <c r="D163" s="4"/>
      <c r="E163" s="8"/>
    </row>
    <row r="164" spans="1:5" ht="36.950000000000003" customHeight="1" thickBot="1" x14ac:dyDescent="0.3">
      <c r="A164" s="56"/>
      <c r="B164" s="56"/>
      <c r="C164" s="4"/>
      <c r="D164" s="4"/>
      <c r="E164" s="8"/>
    </row>
    <row r="165" spans="1:5" ht="36.950000000000003" customHeight="1" thickBot="1" x14ac:dyDescent="0.3">
      <c r="A165" s="56"/>
      <c r="B165" s="56"/>
      <c r="C165" s="4"/>
      <c r="D165" s="4"/>
      <c r="E165" s="8"/>
    </row>
    <row r="166" spans="1:5" ht="36.950000000000003" customHeight="1" thickBot="1" x14ac:dyDescent="0.3">
      <c r="A166" s="56"/>
      <c r="B166" s="56"/>
      <c r="C166" s="4"/>
      <c r="D166" s="4"/>
      <c r="E166" s="8"/>
    </row>
    <row r="167" spans="1:5" ht="36.950000000000003" customHeight="1" thickBot="1" x14ac:dyDescent="0.3">
      <c r="A167" s="56"/>
      <c r="B167" s="56"/>
      <c r="C167" s="4"/>
      <c r="D167" s="4"/>
      <c r="E167" s="8"/>
    </row>
    <row r="168" spans="1:5" ht="36.950000000000003" customHeight="1" thickBot="1" x14ac:dyDescent="0.3">
      <c r="A168" s="56"/>
      <c r="B168" s="56"/>
      <c r="C168" s="4"/>
      <c r="D168" s="4"/>
      <c r="E168" s="8"/>
    </row>
    <row r="169" spans="1:5" ht="36.950000000000003" customHeight="1" thickBot="1" x14ac:dyDescent="0.3">
      <c r="A169" s="56"/>
      <c r="B169" s="56"/>
      <c r="C169" s="4"/>
      <c r="D169" s="4"/>
      <c r="E169" s="8"/>
    </row>
    <row r="170" spans="1:5" ht="36.950000000000003" customHeight="1" thickBot="1" x14ac:dyDescent="0.3">
      <c r="A170" s="56"/>
      <c r="B170" s="56"/>
      <c r="C170" s="4"/>
      <c r="D170" s="4"/>
      <c r="E170" s="8"/>
    </row>
    <row r="171" spans="1:5" ht="36.950000000000003" customHeight="1" thickBot="1" x14ac:dyDescent="0.3">
      <c r="A171" s="56"/>
      <c r="B171" s="56"/>
      <c r="C171" s="4"/>
      <c r="D171" s="4"/>
      <c r="E171" s="8"/>
    </row>
    <row r="172" spans="1:5" ht="36.950000000000003" customHeight="1" thickBot="1" x14ac:dyDescent="0.3">
      <c r="A172" s="56"/>
      <c r="B172" s="56"/>
      <c r="C172" s="4"/>
      <c r="D172" s="4"/>
      <c r="E172" s="8"/>
    </row>
    <row r="173" spans="1:5" ht="36.950000000000003" customHeight="1" thickBot="1" x14ac:dyDescent="0.3">
      <c r="A173" s="56"/>
      <c r="B173" s="56"/>
      <c r="C173" s="4"/>
      <c r="D173" s="4"/>
      <c r="E173" s="8"/>
    </row>
    <row r="174" spans="1:5" ht="36.950000000000003" customHeight="1" thickBot="1" x14ac:dyDescent="0.3">
      <c r="A174" s="56"/>
      <c r="B174" s="56"/>
      <c r="C174" s="4"/>
      <c r="D174" s="4"/>
      <c r="E174" s="8"/>
    </row>
    <row r="175" spans="1:5" ht="36.950000000000003" customHeight="1" thickBot="1" x14ac:dyDescent="0.3">
      <c r="A175" s="56"/>
      <c r="B175" s="56"/>
      <c r="C175" s="4"/>
      <c r="D175" s="4"/>
      <c r="E175" s="8"/>
    </row>
    <row r="176" spans="1:5" ht="36.950000000000003" customHeight="1" thickBot="1" x14ac:dyDescent="0.3">
      <c r="A176" s="56"/>
      <c r="B176" s="56"/>
      <c r="C176" s="4"/>
      <c r="D176" s="4"/>
      <c r="E176" s="8"/>
    </row>
    <row r="177" spans="1:5" ht="36.950000000000003" customHeight="1" thickBot="1" x14ac:dyDescent="0.3">
      <c r="A177" s="56"/>
      <c r="B177" s="56"/>
      <c r="C177" s="4"/>
      <c r="D177" s="4"/>
      <c r="E177" s="8"/>
    </row>
    <row r="178" spans="1:5" ht="36.950000000000003" customHeight="1" thickBot="1" x14ac:dyDescent="0.3">
      <c r="A178" s="56"/>
      <c r="B178" s="56"/>
      <c r="C178" s="4"/>
      <c r="D178" s="4"/>
      <c r="E178" s="8"/>
    </row>
    <row r="179" spans="1:5" ht="36.950000000000003" customHeight="1" thickBot="1" x14ac:dyDescent="0.3">
      <c r="A179" s="56"/>
      <c r="B179" s="56"/>
      <c r="C179" s="4"/>
      <c r="D179" s="4"/>
      <c r="E179" s="8"/>
    </row>
    <row r="180" spans="1:5" ht="36.950000000000003" customHeight="1" thickBot="1" x14ac:dyDescent="0.3">
      <c r="A180" s="56"/>
      <c r="B180" s="56"/>
      <c r="C180" s="4"/>
      <c r="D180" s="4"/>
      <c r="E180" s="8"/>
    </row>
    <row r="181" spans="1:5" ht="36.950000000000003" customHeight="1" thickBot="1" x14ac:dyDescent="0.3">
      <c r="A181" s="56"/>
      <c r="B181" s="56"/>
      <c r="C181" s="4"/>
      <c r="D181" s="4"/>
      <c r="E181" s="8"/>
    </row>
    <row r="182" spans="1:5" ht="36.950000000000003" customHeight="1" thickBot="1" x14ac:dyDescent="0.3">
      <c r="A182" s="56"/>
      <c r="B182" s="56"/>
      <c r="C182" s="4"/>
      <c r="D182" s="4"/>
      <c r="E182" s="8"/>
    </row>
    <row r="183" spans="1:5" ht="36.950000000000003" customHeight="1" thickBot="1" x14ac:dyDescent="0.3">
      <c r="A183" s="56"/>
      <c r="B183" s="56"/>
      <c r="C183" s="4"/>
      <c r="D183" s="4"/>
      <c r="E183" s="8"/>
    </row>
    <row r="184" spans="1:5" ht="36.950000000000003" customHeight="1" thickBot="1" x14ac:dyDescent="0.3">
      <c r="A184" s="56"/>
      <c r="B184" s="56"/>
      <c r="C184" s="4"/>
      <c r="D184" s="4"/>
      <c r="E184" s="8"/>
    </row>
    <row r="185" spans="1:5" ht="36.950000000000003" customHeight="1" thickBot="1" x14ac:dyDescent="0.3">
      <c r="A185" s="56"/>
      <c r="B185" s="56"/>
      <c r="C185" s="4"/>
      <c r="D185" s="4"/>
      <c r="E185" s="8"/>
    </row>
    <row r="186" spans="1:5" ht="36.950000000000003" customHeight="1" thickBot="1" x14ac:dyDescent="0.3">
      <c r="A186" s="56"/>
      <c r="B186" s="56"/>
      <c r="C186" s="4"/>
      <c r="D186" s="4"/>
      <c r="E186" s="8"/>
    </row>
    <row r="187" spans="1:5" ht="36.950000000000003" customHeight="1" thickBot="1" x14ac:dyDescent="0.3">
      <c r="A187" s="56"/>
      <c r="B187" s="56"/>
      <c r="C187" s="4"/>
      <c r="D187" s="4"/>
      <c r="E187" s="8"/>
    </row>
    <row r="188" spans="1:5" ht="36.950000000000003" customHeight="1" thickBot="1" x14ac:dyDescent="0.3">
      <c r="A188" s="56"/>
      <c r="B188" s="56"/>
      <c r="C188" s="4"/>
      <c r="D188" s="4"/>
      <c r="E188" s="8"/>
    </row>
    <row r="189" spans="1:5" ht="36.950000000000003" customHeight="1" thickBot="1" x14ac:dyDescent="0.3">
      <c r="A189" s="56"/>
      <c r="B189" s="56"/>
      <c r="C189" s="4"/>
      <c r="D189" s="4"/>
      <c r="E189" s="8"/>
    </row>
    <row r="190" spans="1:5" ht="36.950000000000003" customHeight="1" thickBot="1" x14ac:dyDescent="0.3">
      <c r="A190" s="56"/>
      <c r="B190" s="56"/>
      <c r="C190" s="4"/>
      <c r="D190" s="4"/>
      <c r="E190" s="8"/>
    </row>
    <row r="191" spans="1:5" ht="36.950000000000003" customHeight="1" thickBot="1" x14ac:dyDescent="0.3">
      <c r="A191" s="56"/>
      <c r="B191" s="56"/>
      <c r="C191" s="4"/>
      <c r="D191" s="4"/>
      <c r="E191" s="8"/>
    </row>
    <row r="192" spans="1:5" ht="36.950000000000003" customHeight="1" thickBot="1" x14ac:dyDescent="0.3">
      <c r="A192" s="56"/>
      <c r="B192" s="56"/>
      <c r="C192" s="4"/>
      <c r="D192" s="4"/>
      <c r="E192" s="8"/>
    </row>
    <row r="193" spans="1:5" ht="36.950000000000003" customHeight="1" thickBot="1" x14ac:dyDescent="0.3">
      <c r="A193" s="56"/>
      <c r="B193" s="56"/>
      <c r="C193" s="4"/>
      <c r="D193" s="4"/>
      <c r="E193" s="8"/>
    </row>
    <row r="194" spans="1:5" ht="36.950000000000003" customHeight="1" thickBot="1" x14ac:dyDescent="0.3">
      <c r="A194" s="56"/>
      <c r="B194" s="56"/>
      <c r="C194" s="4"/>
      <c r="D194" s="4"/>
      <c r="E194" s="8"/>
    </row>
    <row r="195" spans="1:5" ht="36.950000000000003" customHeight="1" thickBot="1" x14ac:dyDescent="0.3">
      <c r="A195" s="56"/>
      <c r="B195" s="56"/>
      <c r="C195" s="4"/>
      <c r="D195" s="4"/>
      <c r="E195" s="8"/>
    </row>
    <row r="196" spans="1:5" ht="36.950000000000003" customHeight="1" thickBot="1" x14ac:dyDescent="0.3">
      <c r="A196" s="56"/>
      <c r="B196" s="56"/>
      <c r="C196" s="4"/>
      <c r="D196" s="4"/>
      <c r="E196" s="8"/>
    </row>
    <row r="197" spans="1:5" ht="36.950000000000003" customHeight="1" thickBot="1" x14ac:dyDescent="0.3">
      <c r="A197" s="56"/>
      <c r="B197" s="56"/>
      <c r="C197" s="4"/>
      <c r="D197" s="4"/>
      <c r="E197" s="8"/>
    </row>
    <row r="198" spans="1:5" ht="36.950000000000003" customHeight="1" thickBot="1" x14ac:dyDescent="0.3">
      <c r="A198" s="56"/>
      <c r="B198" s="56"/>
      <c r="C198" s="4"/>
      <c r="D198" s="4"/>
      <c r="E198" s="8"/>
    </row>
    <row r="199" spans="1:5" ht="36.950000000000003" customHeight="1" thickBot="1" x14ac:dyDescent="0.3">
      <c r="A199" s="56"/>
      <c r="B199" s="56"/>
      <c r="C199" s="4"/>
      <c r="D199" s="4"/>
      <c r="E199" s="8"/>
    </row>
    <row r="200" spans="1:5" ht="36.950000000000003" customHeight="1" thickBot="1" x14ac:dyDescent="0.3">
      <c r="A200" s="56"/>
      <c r="B200" s="56"/>
      <c r="C200" s="4"/>
      <c r="D200" s="4"/>
      <c r="E200" s="8"/>
    </row>
    <row r="201" spans="1:5" ht="36.950000000000003" customHeight="1" thickBot="1" x14ac:dyDescent="0.3">
      <c r="A201" s="56"/>
      <c r="B201" s="56"/>
      <c r="C201" s="4"/>
      <c r="D201" s="4"/>
      <c r="E201" s="8"/>
    </row>
    <row r="202" spans="1:5" ht="36.950000000000003" customHeight="1" thickBot="1" x14ac:dyDescent="0.3">
      <c r="A202" s="56"/>
      <c r="B202" s="56"/>
      <c r="C202" s="4"/>
      <c r="D202" s="4"/>
      <c r="E202" s="8"/>
    </row>
    <row r="203" spans="1:5" ht="36.950000000000003" customHeight="1" thickBot="1" x14ac:dyDescent="0.3">
      <c r="A203" s="56"/>
      <c r="B203" s="56"/>
      <c r="C203" s="4"/>
      <c r="D203" s="4"/>
      <c r="E203" s="8"/>
    </row>
    <row r="204" spans="1:5" ht="36.950000000000003" customHeight="1" thickBot="1" x14ac:dyDescent="0.3">
      <c r="A204" s="56"/>
      <c r="B204" s="56"/>
      <c r="C204" s="4"/>
      <c r="D204" s="4"/>
      <c r="E204" s="8"/>
    </row>
    <row r="205" spans="1:5" ht="36.950000000000003" customHeight="1" thickBot="1" x14ac:dyDescent="0.3">
      <c r="A205" s="56"/>
      <c r="B205" s="56"/>
      <c r="C205" s="4"/>
      <c r="D205" s="4"/>
      <c r="E205" s="8"/>
    </row>
    <row r="206" spans="1:5" ht="36.950000000000003" customHeight="1" thickBot="1" x14ac:dyDescent="0.3">
      <c r="A206" s="56"/>
      <c r="B206" s="56"/>
      <c r="C206" s="4"/>
      <c r="D206" s="4"/>
      <c r="E206" s="8"/>
    </row>
    <row r="207" spans="1:5" ht="36.950000000000003" customHeight="1" thickBot="1" x14ac:dyDescent="0.3">
      <c r="A207" s="56"/>
      <c r="B207" s="56"/>
      <c r="C207" s="4"/>
      <c r="D207" s="4"/>
      <c r="E207" s="8"/>
    </row>
    <row r="208" spans="1:5" ht="36.950000000000003" customHeight="1" thickBot="1" x14ac:dyDescent="0.3">
      <c r="A208" s="56"/>
      <c r="B208" s="56"/>
      <c r="C208" s="4"/>
      <c r="D208" s="4"/>
      <c r="E208" s="8"/>
    </row>
    <row r="209" spans="1:5" ht="36.950000000000003" customHeight="1" thickBot="1" x14ac:dyDescent="0.3">
      <c r="A209" s="56"/>
      <c r="B209" s="56"/>
      <c r="C209" s="4"/>
      <c r="D209" s="4"/>
      <c r="E209" s="8"/>
    </row>
    <row r="210" spans="1:5" ht="36.950000000000003" customHeight="1" thickBot="1" x14ac:dyDescent="0.3">
      <c r="A210" s="56"/>
      <c r="B210" s="56"/>
      <c r="C210" s="4"/>
      <c r="D210" s="4"/>
      <c r="E210" s="8"/>
    </row>
    <row r="211" spans="1:5" ht="36.950000000000003" customHeight="1" thickBot="1" x14ac:dyDescent="0.3">
      <c r="A211" s="56"/>
      <c r="B211" s="56"/>
      <c r="C211" s="4"/>
      <c r="D211" s="4"/>
      <c r="E211" s="8"/>
    </row>
    <row r="212" spans="1:5" ht="36.950000000000003" customHeight="1" thickBot="1" x14ac:dyDescent="0.3">
      <c r="A212" s="56"/>
      <c r="B212" s="56"/>
      <c r="C212" s="4"/>
      <c r="D212" s="4"/>
      <c r="E212" s="8"/>
    </row>
    <row r="213" spans="1:5" ht="36.950000000000003" customHeight="1" thickBot="1" x14ac:dyDescent="0.3">
      <c r="A213" s="56"/>
      <c r="B213" s="56"/>
      <c r="C213" s="4"/>
      <c r="D213" s="4"/>
      <c r="E213" s="8"/>
    </row>
    <row r="214" spans="1:5" ht="36.950000000000003" customHeight="1" thickBot="1" x14ac:dyDescent="0.3">
      <c r="A214" s="56"/>
      <c r="B214" s="56"/>
      <c r="C214" s="4"/>
      <c r="D214" s="4"/>
      <c r="E214" s="8"/>
    </row>
    <row r="215" spans="1:5" ht="36.950000000000003" customHeight="1" thickBot="1" x14ac:dyDescent="0.3">
      <c r="A215" s="56"/>
      <c r="B215" s="56"/>
      <c r="C215" s="4"/>
      <c r="D215" s="4"/>
      <c r="E215" s="8"/>
    </row>
    <row r="216" spans="1:5" ht="36.950000000000003" customHeight="1" thickBot="1" x14ac:dyDescent="0.3">
      <c r="A216" s="56"/>
      <c r="B216" s="56"/>
      <c r="C216" s="4"/>
      <c r="D216" s="4"/>
      <c r="E216" s="8"/>
    </row>
    <row r="217" spans="1:5" ht="36.950000000000003" customHeight="1" thickBot="1" x14ac:dyDescent="0.3">
      <c r="A217" s="56"/>
      <c r="B217" s="56"/>
      <c r="C217" s="4"/>
      <c r="D217" s="4"/>
      <c r="E217" s="8"/>
    </row>
    <row r="218" spans="1:5" ht="36.950000000000003" customHeight="1" thickBot="1" x14ac:dyDescent="0.3">
      <c r="A218" s="56"/>
      <c r="B218" s="56"/>
      <c r="C218" s="4"/>
      <c r="D218" s="4"/>
      <c r="E218" s="8"/>
    </row>
    <row r="219" spans="1:5" ht="36.950000000000003" customHeight="1" thickBot="1" x14ac:dyDescent="0.3">
      <c r="A219" s="56"/>
      <c r="B219" s="56"/>
      <c r="C219" s="4"/>
      <c r="D219" s="4"/>
      <c r="E219" s="8"/>
    </row>
    <row r="220" spans="1:5" ht="36.950000000000003" customHeight="1" thickBot="1" x14ac:dyDescent="0.3">
      <c r="A220" s="56"/>
      <c r="B220" s="56"/>
      <c r="C220" s="4"/>
      <c r="D220" s="4"/>
      <c r="E220" s="8"/>
    </row>
    <row r="221" spans="1:5" ht="36.950000000000003" customHeight="1" thickBot="1" x14ac:dyDescent="0.3">
      <c r="A221" s="56"/>
      <c r="B221" s="56"/>
      <c r="C221" s="4"/>
      <c r="D221" s="4"/>
      <c r="E221" s="8"/>
    </row>
    <row r="222" spans="1:5" ht="36.950000000000003" customHeight="1" thickBot="1" x14ac:dyDescent="0.3">
      <c r="A222" s="56"/>
      <c r="B222" s="56"/>
      <c r="C222" s="4"/>
      <c r="D222" s="4"/>
      <c r="E222" s="8"/>
    </row>
    <row r="223" spans="1:5" ht="36.950000000000003" customHeight="1" thickBot="1" x14ac:dyDescent="0.3">
      <c r="A223" s="56"/>
      <c r="B223" s="56"/>
      <c r="C223" s="4"/>
      <c r="D223" s="4"/>
      <c r="E223" s="8"/>
    </row>
    <row r="224" spans="1:5" ht="36.950000000000003" customHeight="1" thickBot="1" x14ac:dyDescent="0.3">
      <c r="A224" s="56"/>
      <c r="B224" s="56"/>
      <c r="C224" s="4"/>
      <c r="D224" s="4"/>
      <c r="E224" s="8"/>
    </row>
    <row r="225" spans="1:5" ht="36.950000000000003" customHeight="1" thickBot="1" x14ac:dyDescent="0.3">
      <c r="A225" s="56"/>
      <c r="B225" s="56"/>
      <c r="C225" s="4"/>
      <c r="D225" s="4"/>
      <c r="E225" s="8"/>
    </row>
    <row r="226" spans="1:5" ht="36.950000000000003" customHeight="1" thickBot="1" x14ac:dyDescent="0.3">
      <c r="A226" s="56"/>
      <c r="B226" s="56"/>
      <c r="C226" s="4"/>
      <c r="D226" s="4"/>
      <c r="E226" s="8"/>
    </row>
    <row r="227" spans="1:5" ht="36.950000000000003" customHeight="1" thickBot="1" x14ac:dyDescent="0.3">
      <c r="A227" s="56"/>
      <c r="B227" s="56"/>
      <c r="C227" s="4"/>
      <c r="D227" s="4"/>
      <c r="E227" s="8"/>
    </row>
    <row r="228" spans="1:5" ht="36.950000000000003" customHeight="1" thickBot="1" x14ac:dyDescent="0.3">
      <c r="A228" s="56"/>
      <c r="B228" s="56"/>
      <c r="C228" s="4"/>
      <c r="D228" s="4"/>
      <c r="E228" s="8"/>
    </row>
    <row r="229" spans="1:5" ht="36.950000000000003" customHeight="1" thickBot="1" x14ac:dyDescent="0.3">
      <c r="A229" s="56"/>
      <c r="B229" s="56"/>
      <c r="C229" s="4"/>
      <c r="D229" s="4"/>
      <c r="E229" s="8"/>
    </row>
    <row r="230" spans="1:5" ht="36.950000000000003" customHeight="1" thickBot="1" x14ac:dyDescent="0.3">
      <c r="A230" s="56"/>
      <c r="B230" s="56"/>
      <c r="C230" s="4"/>
      <c r="D230" s="4"/>
      <c r="E230" s="8"/>
    </row>
    <row r="231" spans="1:5" ht="36.950000000000003" customHeight="1" thickBot="1" x14ac:dyDescent="0.3">
      <c r="A231" s="56"/>
      <c r="B231" s="56"/>
      <c r="C231" s="4"/>
      <c r="D231" s="4"/>
      <c r="E231" s="8"/>
    </row>
    <row r="232" spans="1:5" ht="36.950000000000003" customHeight="1" thickBot="1" x14ac:dyDescent="0.3">
      <c r="A232" s="56"/>
      <c r="B232" s="56"/>
      <c r="C232" s="4"/>
      <c r="D232" s="4"/>
      <c r="E232" s="8"/>
    </row>
    <row r="233" spans="1:5" ht="36.950000000000003" customHeight="1" thickBot="1" x14ac:dyDescent="0.3">
      <c r="A233" s="56"/>
      <c r="B233" s="56"/>
      <c r="C233" s="4"/>
      <c r="D233" s="4"/>
      <c r="E233" s="8"/>
    </row>
    <row r="234" spans="1:5" ht="36.950000000000003" customHeight="1" thickBot="1" x14ac:dyDescent="0.3">
      <c r="A234" s="56"/>
      <c r="B234" s="56"/>
      <c r="C234" s="4"/>
      <c r="D234" s="4"/>
      <c r="E234" s="8"/>
    </row>
    <row r="235" spans="1:5" ht="36.950000000000003" customHeight="1" thickBot="1" x14ac:dyDescent="0.3">
      <c r="A235" s="56"/>
      <c r="B235" s="56"/>
      <c r="C235" s="4"/>
      <c r="D235" s="4"/>
      <c r="E235" s="8"/>
    </row>
    <row r="236" spans="1:5" ht="36.950000000000003" customHeight="1" thickBot="1" x14ac:dyDescent="0.3">
      <c r="A236" s="56"/>
      <c r="B236" s="56"/>
      <c r="C236" s="4"/>
      <c r="D236" s="4"/>
      <c r="E236" s="8"/>
    </row>
    <row r="237" spans="1:5" ht="36.950000000000003" customHeight="1" thickBot="1" x14ac:dyDescent="0.3">
      <c r="A237" s="56"/>
      <c r="B237" s="56"/>
      <c r="C237" s="4"/>
      <c r="D237" s="4"/>
      <c r="E237" s="8"/>
    </row>
    <row r="238" spans="1:5" ht="36.950000000000003" customHeight="1" thickBot="1" x14ac:dyDescent="0.3">
      <c r="A238" s="56"/>
      <c r="B238" s="56"/>
      <c r="C238" s="4"/>
      <c r="D238" s="4"/>
      <c r="E238" s="8"/>
    </row>
    <row r="239" spans="1:5" ht="36.950000000000003" customHeight="1" thickBot="1" x14ac:dyDescent="0.3">
      <c r="A239" s="56"/>
      <c r="B239" s="56"/>
      <c r="C239" s="4"/>
      <c r="D239" s="4"/>
      <c r="E239" s="8"/>
    </row>
    <row r="240" spans="1:5" ht="36.950000000000003" customHeight="1" thickBot="1" x14ac:dyDescent="0.3">
      <c r="A240" s="56"/>
      <c r="B240" s="56"/>
      <c r="C240" s="4"/>
      <c r="D240" s="4"/>
      <c r="E240" s="8"/>
    </row>
    <row r="241" spans="1:5" ht="36.950000000000003" customHeight="1" thickBot="1" x14ac:dyDescent="0.3">
      <c r="A241" s="56"/>
      <c r="B241" s="56"/>
      <c r="C241" s="4"/>
      <c r="D241" s="4"/>
      <c r="E241" s="8"/>
    </row>
    <row r="242" spans="1:5" ht="36.950000000000003" customHeight="1" thickBot="1" x14ac:dyDescent="0.3">
      <c r="A242" s="56"/>
      <c r="B242" s="56"/>
      <c r="C242" s="4"/>
      <c r="D242" s="4"/>
      <c r="E242" s="8"/>
    </row>
    <row r="243" spans="1:5" ht="36.950000000000003" customHeight="1" thickBot="1" x14ac:dyDescent="0.3">
      <c r="A243" s="56"/>
      <c r="B243" s="56"/>
      <c r="C243" s="4"/>
      <c r="D243" s="4"/>
      <c r="E243" s="8"/>
    </row>
    <row r="244" spans="1:5" ht="36.950000000000003" customHeight="1" thickBot="1" x14ac:dyDescent="0.3">
      <c r="A244" s="56"/>
      <c r="B244" s="56"/>
      <c r="C244" s="4"/>
      <c r="D244" s="4"/>
      <c r="E244" s="8"/>
    </row>
    <row r="245" spans="1:5" ht="36.950000000000003" customHeight="1" thickBot="1" x14ac:dyDescent="0.3">
      <c r="A245" s="56"/>
      <c r="B245" s="56"/>
      <c r="C245" s="4"/>
      <c r="D245" s="4"/>
      <c r="E245" s="8"/>
    </row>
    <row r="246" spans="1:5" ht="36.950000000000003" customHeight="1" thickBot="1" x14ac:dyDescent="0.3">
      <c r="A246" s="56"/>
      <c r="B246" s="56"/>
      <c r="C246" s="4"/>
      <c r="D246" s="4"/>
      <c r="E246" s="8"/>
    </row>
    <row r="247" spans="1:5" ht="36.950000000000003" customHeight="1" thickBot="1" x14ac:dyDescent="0.3">
      <c r="A247" s="56"/>
      <c r="B247" s="56"/>
      <c r="C247" s="4"/>
      <c r="D247" s="4"/>
      <c r="E247" s="8"/>
    </row>
    <row r="248" spans="1:5" ht="36.950000000000003" customHeight="1" thickBot="1" x14ac:dyDescent="0.3">
      <c r="A248" s="56"/>
      <c r="B248" s="56"/>
      <c r="C248" s="4"/>
      <c r="D248" s="4"/>
      <c r="E248" s="8"/>
    </row>
    <row r="249" spans="1:5" ht="36.950000000000003" customHeight="1" thickBot="1" x14ac:dyDescent="0.3">
      <c r="A249" s="56"/>
      <c r="B249" s="56"/>
      <c r="C249" s="4"/>
      <c r="D249" s="4"/>
      <c r="E249" s="8"/>
    </row>
    <row r="250" spans="1:5" ht="36.950000000000003" customHeight="1" thickBot="1" x14ac:dyDescent="0.3">
      <c r="A250" s="56"/>
      <c r="B250" s="56"/>
      <c r="C250" s="4"/>
      <c r="D250" s="4"/>
      <c r="E250" s="8"/>
    </row>
    <row r="251" spans="1:5" ht="36.950000000000003" customHeight="1" thickBot="1" x14ac:dyDescent="0.3">
      <c r="A251" s="56"/>
      <c r="B251" s="56"/>
      <c r="C251" s="4"/>
      <c r="D251" s="4"/>
      <c r="E251" s="8"/>
    </row>
    <row r="252" spans="1:5" ht="36.950000000000003" customHeight="1" thickBot="1" x14ac:dyDescent="0.3">
      <c r="A252" s="56"/>
      <c r="B252" s="56"/>
      <c r="C252" s="4"/>
      <c r="D252" s="4"/>
      <c r="E252" s="8"/>
    </row>
    <row r="253" spans="1:5" ht="36.950000000000003" customHeight="1" thickBot="1" x14ac:dyDescent="0.3">
      <c r="A253" s="56"/>
      <c r="B253" s="56"/>
      <c r="C253" s="4"/>
      <c r="D253" s="4"/>
      <c r="E253" s="8"/>
    </row>
    <row r="254" spans="1:5" ht="36.950000000000003" customHeight="1" thickBot="1" x14ac:dyDescent="0.3">
      <c r="A254" s="56"/>
      <c r="B254" s="56"/>
      <c r="C254" s="4"/>
      <c r="D254" s="4"/>
      <c r="E254" s="8"/>
    </row>
    <row r="255" spans="1:5" ht="36.950000000000003" customHeight="1" thickBot="1" x14ac:dyDescent="0.3">
      <c r="A255" s="56"/>
      <c r="B255" s="56"/>
      <c r="C255" s="4"/>
      <c r="D255" s="4"/>
      <c r="E255" s="8"/>
    </row>
    <row r="256" spans="1:5" ht="36.950000000000003" customHeight="1" thickBot="1" x14ac:dyDescent="0.3">
      <c r="A256" s="56"/>
      <c r="B256" s="56"/>
      <c r="C256" s="4"/>
      <c r="D256" s="4"/>
      <c r="E256" s="8"/>
    </row>
    <row r="257" spans="1:5" ht="36.950000000000003" customHeight="1" thickBot="1" x14ac:dyDescent="0.3">
      <c r="A257" s="56"/>
      <c r="B257" s="56"/>
      <c r="C257" s="4"/>
      <c r="D257" s="4"/>
      <c r="E257" s="8"/>
    </row>
    <row r="258" spans="1:5" ht="36.950000000000003" customHeight="1" thickBot="1" x14ac:dyDescent="0.3">
      <c r="A258" s="56"/>
      <c r="B258" s="56"/>
      <c r="C258" s="4"/>
      <c r="D258" s="4"/>
      <c r="E258" s="8"/>
    </row>
    <row r="259" spans="1:5" ht="36.950000000000003" customHeight="1" thickBot="1" x14ac:dyDescent="0.3">
      <c r="A259" s="56"/>
      <c r="B259" s="56"/>
      <c r="C259" s="4"/>
      <c r="D259" s="4"/>
      <c r="E259" s="8"/>
    </row>
    <row r="260" spans="1:5" ht="36.950000000000003" customHeight="1" thickBot="1" x14ac:dyDescent="0.3">
      <c r="A260" s="56"/>
      <c r="B260" s="56"/>
      <c r="C260" s="4"/>
      <c r="D260" s="4"/>
      <c r="E260" s="8"/>
    </row>
    <row r="261" spans="1:5" ht="36.950000000000003" customHeight="1" thickBot="1" x14ac:dyDescent="0.3">
      <c r="A261" s="56"/>
      <c r="B261" s="56"/>
      <c r="C261" s="4"/>
      <c r="D261" s="4"/>
      <c r="E261" s="8"/>
    </row>
    <row r="262" spans="1:5" ht="36.950000000000003" customHeight="1" thickBot="1" x14ac:dyDescent="0.3">
      <c r="A262" s="56"/>
      <c r="B262" s="56"/>
      <c r="C262" s="4"/>
      <c r="D262" s="4"/>
      <c r="E262" s="8"/>
    </row>
    <row r="263" spans="1:5" ht="36.950000000000003" customHeight="1" thickBot="1" x14ac:dyDescent="0.3">
      <c r="A263" s="56"/>
      <c r="B263" s="56"/>
      <c r="C263" s="4"/>
      <c r="D263" s="4"/>
      <c r="E263" s="8"/>
    </row>
    <row r="264" spans="1:5" ht="36.950000000000003" customHeight="1" thickBot="1" x14ac:dyDescent="0.3">
      <c r="A264" s="56"/>
      <c r="B264" s="56"/>
      <c r="C264" s="4"/>
      <c r="D264" s="4"/>
      <c r="E264" s="8"/>
    </row>
    <row r="265" spans="1:5" ht="36.950000000000003" customHeight="1" thickBot="1" x14ac:dyDescent="0.3">
      <c r="A265" s="56"/>
      <c r="B265" s="56"/>
      <c r="C265" s="4"/>
      <c r="D265" s="4"/>
      <c r="E265" s="8"/>
    </row>
    <row r="266" spans="1:5" ht="36.950000000000003" customHeight="1" thickBot="1" x14ac:dyDescent="0.3">
      <c r="A266" s="56"/>
      <c r="B266" s="56"/>
      <c r="C266" s="4"/>
      <c r="D266" s="4"/>
      <c r="E266" s="8"/>
    </row>
    <row r="267" spans="1:5" ht="36.950000000000003" customHeight="1" thickBot="1" x14ac:dyDescent="0.3">
      <c r="A267" s="56"/>
      <c r="B267" s="56"/>
      <c r="C267" s="4"/>
      <c r="D267" s="4"/>
      <c r="E267" s="8"/>
    </row>
    <row r="268" spans="1:5" ht="36.950000000000003" customHeight="1" thickBot="1" x14ac:dyDescent="0.3">
      <c r="A268" s="56"/>
      <c r="B268" s="56"/>
      <c r="C268" s="4"/>
      <c r="D268" s="4"/>
      <c r="E268" s="8"/>
    </row>
    <row r="269" spans="1:5" ht="36.950000000000003" customHeight="1" thickBot="1" x14ac:dyDescent="0.3">
      <c r="A269" s="56"/>
      <c r="B269" s="56"/>
      <c r="C269" s="4"/>
      <c r="D269" s="4"/>
      <c r="E269" s="8"/>
    </row>
    <row r="270" spans="1:5" ht="36.950000000000003" customHeight="1" thickBot="1" x14ac:dyDescent="0.3">
      <c r="A270" s="56"/>
      <c r="B270" s="56"/>
      <c r="C270" s="4"/>
      <c r="D270" s="4"/>
      <c r="E270" s="8"/>
    </row>
    <row r="271" spans="1:5" ht="36.950000000000003" customHeight="1" thickBot="1" x14ac:dyDescent="0.3">
      <c r="A271" s="56"/>
      <c r="B271" s="56"/>
      <c r="C271" s="4"/>
      <c r="D271" s="4"/>
      <c r="E271" s="8"/>
    </row>
    <row r="272" spans="1:5" ht="36.950000000000003" customHeight="1" thickBot="1" x14ac:dyDescent="0.3">
      <c r="A272" s="56"/>
      <c r="B272" s="56"/>
      <c r="C272" s="4"/>
      <c r="D272" s="4"/>
      <c r="E272" s="8"/>
    </row>
    <row r="273" spans="1:5" ht="36.950000000000003" customHeight="1" thickBot="1" x14ac:dyDescent="0.3">
      <c r="A273" s="56"/>
      <c r="B273" s="56"/>
      <c r="C273" s="4"/>
      <c r="D273" s="4"/>
      <c r="E273" s="8"/>
    </row>
    <row r="274" spans="1:5" ht="36.950000000000003" customHeight="1" thickBot="1" x14ac:dyDescent="0.3">
      <c r="A274" s="56"/>
      <c r="B274" s="56"/>
      <c r="C274" s="4"/>
      <c r="D274" s="4"/>
      <c r="E274" s="8"/>
    </row>
    <row r="275" spans="1:5" ht="36.950000000000003" customHeight="1" thickBot="1" x14ac:dyDescent="0.3">
      <c r="A275" s="56"/>
      <c r="B275" s="56"/>
      <c r="C275" s="4"/>
      <c r="D275" s="4"/>
      <c r="E275" s="8"/>
    </row>
    <row r="276" spans="1:5" ht="36.950000000000003" customHeight="1" thickBot="1" x14ac:dyDescent="0.3">
      <c r="A276" s="56"/>
      <c r="B276" s="56"/>
      <c r="C276" s="4"/>
      <c r="D276" s="4"/>
      <c r="E276" s="8"/>
    </row>
    <row r="277" spans="1:5" ht="36.950000000000003" customHeight="1" thickBot="1" x14ac:dyDescent="0.3">
      <c r="A277" s="56"/>
      <c r="B277" s="56"/>
      <c r="C277" s="4"/>
      <c r="D277" s="4"/>
      <c r="E277" s="8"/>
    </row>
    <row r="278" spans="1:5" ht="36.950000000000003" customHeight="1" thickBot="1" x14ac:dyDescent="0.3">
      <c r="A278" s="56"/>
      <c r="B278" s="56"/>
      <c r="C278" s="4"/>
      <c r="D278" s="4"/>
      <c r="E278" s="8"/>
    </row>
    <row r="279" spans="1:5" ht="36.950000000000003" customHeight="1" thickBot="1" x14ac:dyDescent="0.3">
      <c r="A279" s="56"/>
      <c r="B279" s="56"/>
      <c r="C279" s="4"/>
      <c r="D279" s="4"/>
      <c r="E279" s="8"/>
    </row>
    <row r="280" spans="1:5" ht="36.950000000000003" customHeight="1" thickBot="1" x14ac:dyDescent="0.3">
      <c r="A280" s="56"/>
      <c r="B280" s="56"/>
      <c r="C280" s="4"/>
      <c r="D280" s="4"/>
      <c r="E280" s="8"/>
    </row>
    <row r="281" spans="1:5" ht="36.950000000000003" customHeight="1" thickBot="1" x14ac:dyDescent="0.3">
      <c r="A281" s="56"/>
      <c r="B281" s="56"/>
      <c r="C281" s="4"/>
      <c r="D281" s="4"/>
      <c r="E281" s="8"/>
    </row>
    <row r="282" spans="1:5" ht="36.950000000000003" customHeight="1" thickBot="1" x14ac:dyDescent="0.3">
      <c r="A282" s="56"/>
      <c r="B282" s="56"/>
      <c r="C282" s="4"/>
      <c r="D282" s="4"/>
      <c r="E282" s="8"/>
    </row>
    <row r="283" spans="1:5" ht="36.950000000000003" customHeight="1" thickBot="1" x14ac:dyDescent="0.3">
      <c r="A283" s="56"/>
      <c r="B283" s="56"/>
      <c r="C283" s="4"/>
      <c r="D283" s="4"/>
      <c r="E283" s="8"/>
    </row>
    <row r="284" spans="1:5" ht="36.950000000000003" customHeight="1" thickBot="1" x14ac:dyDescent="0.3">
      <c r="A284" s="56"/>
      <c r="B284" s="56"/>
      <c r="C284" s="4"/>
      <c r="D284" s="4"/>
      <c r="E284" s="8"/>
    </row>
    <row r="285" spans="1:5" ht="36.950000000000003" customHeight="1" thickBot="1" x14ac:dyDescent="0.3">
      <c r="A285" s="56"/>
      <c r="B285" s="56"/>
      <c r="C285" s="4"/>
      <c r="D285" s="4"/>
      <c r="E285" s="8"/>
    </row>
    <row r="286" spans="1:5" ht="36.950000000000003" customHeight="1" thickBot="1" x14ac:dyDescent="0.3">
      <c r="A286" s="56"/>
      <c r="B286" s="56"/>
      <c r="C286" s="4"/>
      <c r="D286" s="4"/>
      <c r="E286" s="8"/>
    </row>
    <row r="287" spans="1:5" ht="36.950000000000003" customHeight="1" thickBot="1" x14ac:dyDescent="0.3">
      <c r="A287" s="56"/>
      <c r="B287" s="56"/>
      <c r="C287" s="4"/>
      <c r="D287" s="4"/>
      <c r="E287" s="8"/>
    </row>
    <row r="288" spans="1:5" ht="36.950000000000003" customHeight="1" thickBot="1" x14ac:dyDescent="0.3">
      <c r="A288" s="56"/>
      <c r="B288" s="56"/>
      <c r="C288" s="4"/>
      <c r="D288" s="4"/>
      <c r="E288" s="8"/>
    </row>
    <row r="289" spans="1:5" ht="36.950000000000003" customHeight="1" thickBot="1" x14ac:dyDescent="0.3">
      <c r="A289" s="56"/>
      <c r="B289" s="56"/>
      <c r="C289" s="4"/>
      <c r="D289" s="4"/>
      <c r="E289" s="8"/>
    </row>
    <row r="290" spans="1:5" ht="36.950000000000003" customHeight="1" thickBot="1" x14ac:dyDescent="0.3">
      <c r="A290" s="56"/>
      <c r="B290" s="56"/>
      <c r="C290" s="4"/>
      <c r="D290" s="4"/>
      <c r="E290" s="8"/>
    </row>
    <row r="291" spans="1:5" ht="36.950000000000003" customHeight="1" thickBot="1" x14ac:dyDescent="0.3">
      <c r="A291" s="56"/>
      <c r="B291" s="56"/>
      <c r="C291" s="4"/>
      <c r="D291" s="4"/>
      <c r="E291" s="8"/>
    </row>
    <row r="292" spans="1:5" ht="36.950000000000003" customHeight="1" thickBot="1" x14ac:dyDescent="0.3">
      <c r="A292" s="56"/>
      <c r="B292" s="56"/>
      <c r="C292" s="4"/>
      <c r="D292" s="4"/>
      <c r="E292" s="8"/>
    </row>
    <row r="293" spans="1:5" ht="36.950000000000003" customHeight="1" thickBot="1" x14ac:dyDescent="0.3">
      <c r="A293" s="56"/>
      <c r="B293" s="56"/>
      <c r="C293" s="4"/>
      <c r="D293" s="4"/>
      <c r="E293" s="8"/>
    </row>
    <row r="294" spans="1:5" ht="36.950000000000003" customHeight="1" thickBot="1" x14ac:dyDescent="0.3">
      <c r="A294" s="56"/>
      <c r="B294" s="56"/>
      <c r="C294" s="4"/>
      <c r="D294" s="4"/>
      <c r="E294" s="8"/>
    </row>
    <row r="295" spans="1:5" ht="36.950000000000003" customHeight="1" thickBot="1" x14ac:dyDescent="0.3">
      <c r="A295" s="56"/>
      <c r="B295" s="56"/>
      <c r="C295" s="4"/>
      <c r="D295" s="4"/>
      <c r="E295" s="8"/>
    </row>
    <row r="296" spans="1:5" ht="36.950000000000003" customHeight="1" thickBot="1" x14ac:dyDescent="0.3">
      <c r="A296" s="56"/>
      <c r="B296" s="56"/>
      <c r="C296" s="4"/>
      <c r="D296" s="4"/>
      <c r="E296" s="8"/>
    </row>
    <row r="297" spans="1:5" ht="36.950000000000003" customHeight="1" thickBot="1" x14ac:dyDescent="0.3">
      <c r="A297" s="56"/>
      <c r="B297" s="56"/>
      <c r="C297" s="4"/>
      <c r="D297" s="4"/>
      <c r="E297" s="8"/>
    </row>
    <row r="298" spans="1:5" ht="36.950000000000003" customHeight="1" thickBot="1" x14ac:dyDescent="0.3">
      <c r="A298" s="56"/>
      <c r="B298" s="56"/>
      <c r="C298" s="4"/>
      <c r="D298" s="4"/>
      <c r="E298" s="8"/>
    </row>
    <row r="299" spans="1:5" ht="36.950000000000003" customHeight="1" thickBot="1" x14ac:dyDescent="0.3">
      <c r="A299" s="56"/>
      <c r="B299" s="56"/>
      <c r="C299" s="4"/>
      <c r="D299" s="4"/>
      <c r="E299" s="8"/>
    </row>
    <row r="300" spans="1:5" ht="36.950000000000003" customHeight="1" thickBot="1" x14ac:dyDescent="0.3">
      <c r="A300" s="56"/>
      <c r="B300" s="56"/>
      <c r="C300" s="4"/>
      <c r="D300" s="4"/>
      <c r="E300" s="8"/>
    </row>
    <row r="301" spans="1:5" ht="36.950000000000003" customHeight="1" thickBot="1" x14ac:dyDescent="0.3">
      <c r="A301" s="56"/>
      <c r="B301" s="56"/>
      <c r="C301" s="4"/>
      <c r="D301" s="4"/>
      <c r="E301" s="8"/>
    </row>
    <row r="302" spans="1:5" ht="36.950000000000003" customHeight="1" thickBot="1" x14ac:dyDescent="0.3">
      <c r="A302" s="56"/>
      <c r="B302" s="56"/>
      <c r="C302" s="4"/>
      <c r="D302" s="4"/>
      <c r="E302" s="8"/>
    </row>
    <row r="303" spans="1:5" ht="36.950000000000003" customHeight="1" thickBot="1" x14ac:dyDescent="0.3">
      <c r="A303" s="56"/>
      <c r="B303" s="56"/>
      <c r="C303" s="4"/>
      <c r="D303" s="4"/>
      <c r="E303" s="8"/>
    </row>
    <row r="304" spans="1:5" ht="36.950000000000003" customHeight="1" thickBot="1" x14ac:dyDescent="0.3">
      <c r="A304" s="56"/>
      <c r="B304" s="56"/>
      <c r="C304" s="4"/>
      <c r="D304" s="4"/>
      <c r="E304" s="8"/>
    </row>
    <row r="305" spans="1:5" ht="36.950000000000003" customHeight="1" thickBot="1" x14ac:dyDescent="0.3">
      <c r="A305" s="56"/>
      <c r="B305" s="56"/>
      <c r="C305" s="4"/>
      <c r="D305" s="4"/>
      <c r="E305" s="8"/>
    </row>
    <row r="306" spans="1:5" ht="36.950000000000003" customHeight="1" thickBot="1" x14ac:dyDescent="0.3">
      <c r="A306" s="56"/>
      <c r="B306" s="56"/>
      <c r="C306" s="4"/>
      <c r="D306" s="4"/>
      <c r="E306" s="8"/>
    </row>
    <row r="307" spans="1:5" ht="36.950000000000003" customHeight="1" thickBot="1" x14ac:dyDescent="0.3">
      <c r="A307" s="56"/>
      <c r="B307" s="56"/>
      <c r="C307" s="4"/>
      <c r="D307" s="4"/>
      <c r="E307" s="8"/>
    </row>
    <row r="308" spans="1:5" ht="36.950000000000003" customHeight="1" thickBot="1" x14ac:dyDescent="0.3">
      <c r="A308" s="56"/>
      <c r="B308" s="56"/>
      <c r="C308" s="4"/>
      <c r="D308" s="4"/>
      <c r="E308" s="8"/>
    </row>
    <row r="309" spans="1:5" ht="36.950000000000003" customHeight="1" thickBot="1" x14ac:dyDescent="0.3">
      <c r="A309" s="56"/>
      <c r="B309" s="56"/>
      <c r="C309" s="4"/>
      <c r="D309" s="4"/>
      <c r="E309" s="8"/>
    </row>
    <row r="310" spans="1:5" ht="36.950000000000003" customHeight="1" thickBot="1" x14ac:dyDescent="0.3">
      <c r="A310" s="56"/>
      <c r="B310" s="56"/>
      <c r="C310" s="4"/>
      <c r="D310" s="4"/>
      <c r="E310" s="8"/>
    </row>
    <row r="311" spans="1:5" ht="36.950000000000003" customHeight="1" thickBot="1" x14ac:dyDescent="0.3">
      <c r="A311" s="56"/>
      <c r="B311" s="56"/>
      <c r="C311" s="4"/>
      <c r="D311" s="4"/>
      <c r="E311" s="8"/>
    </row>
    <row r="312" spans="1:5" ht="36.950000000000003" customHeight="1" thickBot="1" x14ac:dyDescent="0.3">
      <c r="A312" s="56"/>
      <c r="B312" s="56"/>
      <c r="C312" s="4"/>
      <c r="D312" s="4"/>
      <c r="E312" s="8"/>
    </row>
    <row r="313" spans="1:5" ht="36.950000000000003" customHeight="1" thickBot="1" x14ac:dyDescent="0.3">
      <c r="A313" s="56"/>
      <c r="B313" s="56"/>
      <c r="C313" s="4"/>
      <c r="D313" s="4"/>
      <c r="E313" s="8"/>
    </row>
    <row r="314" spans="1:5" ht="36.950000000000003" customHeight="1" thickBot="1" x14ac:dyDescent="0.3">
      <c r="A314" s="56"/>
      <c r="B314" s="56"/>
      <c r="C314" s="4"/>
      <c r="D314" s="4"/>
      <c r="E314" s="8"/>
    </row>
    <row r="315" spans="1:5" ht="36.950000000000003" customHeight="1" thickBot="1" x14ac:dyDescent="0.3">
      <c r="A315" s="56"/>
      <c r="B315" s="56"/>
      <c r="C315" s="4"/>
      <c r="D315" s="4"/>
      <c r="E315" s="8"/>
    </row>
    <row r="316" spans="1:5" ht="36.950000000000003" customHeight="1" thickBot="1" x14ac:dyDescent="0.3">
      <c r="A316" s="56"/>
      <c r="B316" s="56"/>
      <c r="C316" s="4"/>
      <c r="D316" s="4"/>
      <c r="E316" s="8"/>
    </row>
    <row r="317" spans="1:5" ht="36.950000000000003" customHeight="1" thickBot="1" x14ac:dyDescent="0.3">
      <c r="A317" s="56"/>
      <c r="B317" s="56"/>
      <c r="C317" s="4"/>
      <c r="D317" s="4"/>
      <c r="E317" s="8"/>
    </row>
    <row r="318" spans="1:5" ht="36.950000000000003" customHeight="1" thickBot="1" x14ac:dyDescent="0.3">
      <c r="A318" s="56"/>
      <c r="B318" s="56"/>
      <c r="C318" s="4"/>
      <c r="D318" s="4"/>
      <c r="E318" s="8"/>
    </row>
    <row r="319" spans="1:5" ht="36.950000000000003" customHeight="1" thickBot="1" x14ac:dyDescent="0.3">
      <c r="A319" s="56"/>
      <c r="B319" s="56"/>
      <c r="C319" s="4"/>
      <c r="D319" s="4"/>
      <c r="E319" s="8"/>
    </row>
    <row r="320" spans="1:5" ht="36.950000000000003" customHeight="1" thickBot="1" x14ac:dyDescent="0.3">
      <c r="A320" s="56"/>
      <c r="B320" s="56"/>
      <c r="C320" s="4"/>
      <c r="D320" s="4"/>
      <c r="E320" s="8"/>
    </row>
    <row r="321" spans="1:5" ht="36.950000000000003" customHeight="1" thickBot="1" x14ac:dyDescent="0.3">
      <c r="A321" s="56"/>
      <c r="B321" s="56"/>
      <c r="C321" s="4"/>
      <c r="D321" s="4"/>
      <c r="E321" s="8"/>
    </row>
    <row r="322" spans="1:5" ht="36.950000000000003" customHeight="1" thickBot="1" x14ac:dyDescent="0.3">
      <c r="A322" s="56"/>
      <c r="B322" s="56"/>
      <c r="C322" s="4"/>
      <c r="D322" s="4"/>
      <c r="E322" s="8"/>
    </row>
    <row r="323" spans="1:5" ht="36.950000000000003" customHeight="1" thickBot="1" x14ac:dyDescent="0.3">
      <c r="A323" s="56"/>
      <c r="B323" s="56"/>
      <c r="C323" s="4"/>
      <c r="D323" s="4"/>
      <c r="E323" s="8"/>
    </row>
    <row r="324" spans="1:5" ht="36.950000000000003" customHeight="1" thickBot="1" x14ac:dyDescent="0.3">
      <c r="A324" s="56"/>
      <c r="B324" s="56"/>
      <c r="C324" s="4"/>
      <c r="D324" s="4"/>
      <c r="E324" s="8"/>
    </row>
    <row r="325" spans="1:5" ht="36.950000000000003" customHeight="1" thickBot="1" x14ac:dyDescent="0.3">
      <c r="A325" s="56"/>
      <c r="B325" s="56"/>
      <c r="C325" s="4"/>
      <c r="D325" s="4"/>
      <c r="E325" s="8"/>
    </row>
    <row r="326" spans="1:5" ht="36.950000000000003" customHeight="1" thickBot="1" x14ac:dyDescent="0.3">
      <c r="A326" s="56"/>
      <c r="B326" s="56"/>
      <c r="C326" s="4"/>
      <c r="D326" s="4"/>
      <c r="E326" s="8"/>
    </row>
    <row r="327" spans="1:5" ht="36.950000000000003" customHeight="1" thickBot="1" x14ac:dyDescent="0.3">
      <c r="A327" s="56"/>
      <c r="B327" s="56"/>
      <c r="C327" s="4"/>
      <c r="D327" s="4"/>
      <c r="E327" s="8"/>
    </row>
    <row r="328" spans="1:5" ht="36.950000000000003" customHeight="1" thickBot="1" x14ac:dyDescent="0.3">
      <c r="A328" s="56"/>
      <c r="B328" s="56"/>
      <c r="C328" s="4"/>
      <c r="D328" s="4"/>
      <c r="E328" s="8"/>
    </row>
    <row r="329" spans="1:5" ht="36.950000000000003" customHeight="1" thickBot="1" x14ac:dyDescent="0.3">
      <c r="A329" s="56"/>
      <c r="B329" s="56"/>
      <c r="C329" s="4"/>
      <c r="D329" s="4"/>
      <c r="E329" s="8"/>
    </row>
    <row r="330" spans="1:5" ht="36.950000000000003" customHeight="1" thickBot="1" x14ac:dyDescent="0.3">
      <c r="A330" s="56"/>
      <c r="B330" s="56"/>
      <c r="C330" s="4"/>
      <c r="D330" s="4"/>
      <c r="E330" s="8"/>
    </row>
    <row r="331" spans="1:5" ht="36.950000000000003" customHeight="1" thickBot="1" x14ac:dyDescent="0.3">
      <c r="A331" s="56"/>
      <c r="B331" s="56"/>
      <c r="C331" s="4"/>
      <c r="D331" s="4"/>
      <c r="E331" s="8"/>
    </row>
    <row r="332" spans="1:5" ht="36.950000000000003" customHeight="1" thickBot="1" x14ac:dyDescent="0.3">
      <c r="A332" s="56"/>
      <c r="B332" s="56"/>
      <c r="C332" s="4"/>
      <c r="D332" s="4"/>
      <c r="E332" s="8"/>
    </row>
    <row r="333" spans="1:5" ht="36.950000000000003" customHeight="1" thickBot="1" x14ac:dyDescent="0.3">
      <c r="A333" s="56"/>
      <c r="B333" s="56"/>
      <c r="C333" s="4"/>
      <c r="D333" s="4"/>
      <c r="E333" s="8"/>
    </row>
    <row r="334" spans="1:5" ht="36.950000000000003" customHeight="1" thickBot="1" x14ac:dyDescent="0.3">
      <c r="A334" s="56"/>
      <c r="B334" s="56"/>
      <c r="C334" s="4"/>
      <c r="D334" s="4"/>
      <c r="E334" s="8"/>
    </row>
    <row r="335" spans="1:5" ht="36.950000000000003" customHeight="1" thickBot="1" x14ac:dyDescent="0.3">
      <c r="A335" s="56"/>
      <c r="B335" s="56"/>
      <c r="C335" s="4"/>
      <c r="D335" s="4"/>
      <c r="E335" s="8"/>
    </row>
    <row r="336" spans="1:5" ht="36.950000000000003" customHeight="1" thickBot="1" x14ac:dyDescent="0.3">
      <c r="A336" s="56"/>
      <c r="B336" s="56"/>
      <c r="C336" s="4"/>
      <c r="D336" s="4"/>
      <c r="E336" s="8"/>
    </row>
    <row r="337" spans="1:5" ht="36.950000000000003" customHeight="1" thickBot="1" x14ac:dyDescent="0.3">
      <c r="A337" s="56"/>
      <c r="B337" s="56"/>
      <c r="C337" s="4"/>
      <c r="D337" s="4"/>
      <c r="E337" s="8"/>
    </row>
    <row r="338" spans="1:5" ht="36.950000000000003" customHeight="1" thickBot="1" x14ac:dyDescent="0.3">
      <c r="A338" s="56"/>
      <c r="B338" s="56"/>
      <c r="C338" s="4"/>
      <c r="D338" s="4"/>
      <c r="E338" s="8"/>
    </row>
    <row r="339" spans="1:5" ht="36.950000000000003" customHeight="1" thickBot="1" x14ac:dyDescent="0.3">
      <c r="A339" s="56"/>
      <c r="B339" s="56"/>
      <c r="C339" s="4"/>
      <c r="D339" s="4"/>
      <c r="E339" s="8"/>
    </row>
    <row r="340" spans="1:5" ht="36.950000000000003" customHeight="1" thickBot="1" x14ac:dyDescent="0.3">
      <c r="A340" s="56"/>
      <c r="B340" s="56"/>
      <c r="C340" s="4"/>
      <c r="D340" s="4"/>
      <c r="E340" s="8"/>
    </row>
    <row r="341" spans="1:5" ht="36.950000000000003" customHeight="1" thickBot="1" x14ac:dyDescent="0.3">
      <c r="A341" s="56"/>
      <c r="B341" s="56"/>
      <c r="C341" s="4"/>
      <c r="D341" s="4"/>
      <c r="E341" s="8"/>
    </row>
    <row r="342" spans="1:5" ht="36.950000000000003" customHeight="1" thickBot="1" x14ac:dyDescent="0.3">
      <c r="A342" s="56"/>
      <c r="B342" s="56"/>
      <c r="C342" s="4"/>
      <c r="D342" s="4"/>
      <c r="E342" s="8"/>
    </row>
    <row r="343" spans="1:5" ht="36.950000000000003" customHeight="1" thickBot="1" x14ac:dyDescent="0.3">
      <c r="A343" s="56"/>
      <c r="B343" s="56"/>
      <c r="C343" s="4"/>
      <c r="D343" s="4"/>
      <c r="E343" s="8"/>
    </row>
    <row r="344" spans="1:5" ht="36.950000000000003" customHeight="1" thickBot="1" x14ac:dyDescent="0.3">
      <c r="A344" s="56"/>
      <c r="B344" s="56"/>
      <c r="C344" s="4"/>
      <c r="D344" s="4"/>
      <c r="E344" s="8"/>
    </row>
    <row r="345" spans="1:5" ht="36.950000000000003" customHeight="1" thickBot="1" x14ac:dyDescent="0.3">
      <c r="A345" s="56"/>
      <c r="B345" s="56"/>
      <c r="C345" s="4"/>
      <c r="D345" s="4"/>
      <c r="E345" s="8"/>
    </row>
    <row r="346" spans="1:5" ht="36.950000000000003" customHeight="1" thickBot="1" x14ac:dyDescent="0.3">
      <c r="A346" s="56"/>
      <c r="B346" s="56"/>
      <c r="C346" s="4"/>
      <c r="D346" s="4"/>
      <c r="E346" s="8"/>
    </row>
    <row r="347" spans="1:5" ht="36.950000000000003" customHeight="1" thickBot="1" x14ac:dyDescent="0.3">
      <c r="A347" s="56"/>
      <c r="B347" s="56"/>
      <c r="C347" s="4"/>
      <c r="D347" s="4"/>
      <c r="E347" s="8"/>
    </row>
    <row r="348" spans="1:5" ht="36.950000000000003" customHeight="1" thickBot="1" x14ac:dyDescent="0.3">
      <c r="A348" s="56"/>
      <c r="B348" s="56"/>
      <c r="C348" s="4"/>
      <c r="D348" s="4"/>
      <c r="E348" s="8"/>
    </row>
    <row r="349" spans="1:5" ht="36.950000000000003" customHeight="1" thickBot="1" x14ac:dyDescent="0.3">
      <c r="A349" s="56"/>
      <c r="B349" s="56"/>
      <c r="C349" s="4"/>
      <c r="D349" s="4"/>
      <c r="E349" s="8"/>
    </row>
    <row r="350" spans="1:5" ht="36.950000000000003" customHeight="1" thickBot="1" x14ac:dyDescent="0.3">
      <c r="A350" s="56"/>
      <c r="B350" s="56"/>
      <c r="C350" s="4"/>
      <c r="D350" s="4"/>
      <c r="E350" s="8"/>
    </row>
    <row r="351" spans="1:5" ht="36.950000000000003" customHeight="1" thickBot="1" x14ac:dyDescent="0.3">
      <c r="A351" s="56"/>
      <c r="B351" s="56"/>
      <c r="C351" s="4"/>
      <c r="D351" s="4"/>
      <c r="E351" s="8"/>
    </row>
    <row r="352" spans="1:5" ht="36.950000000000003" customHeight="1" thickBot="1" x14ac:dyDescent="0.3">
      <c r="A352" s="56"/>
      <c r="B352" s="56"/>
      <c r="C352" s="4"/>
      <c r="D352" s="4"/>
      <c r="E352" s="8"/>
    </row>
    <row r="353" spans="1:5" ht="36.950000000000003" customHeight="1" thickBot="1" x14ac:dyDescent="0.3">
      <c r="A353" s="56"/>
      <c r="B353" s="56"/>
      <c r="C353" s="4"/>
      <c r="D353" s="4"/>
      <c r="E353" s="8"/>
    </row>
    <row r="354" spans="1:5" ht="36.950000000000003" customHeight="1" thickBot="1" x14ac:dyDescent="0.3">
      <c r="A354" s="56"/>
      <c r="B354" s="56"/>
      <c r="C354" s="4"/>
      <c r="D354" s="4"/>
      <c r="E354" s="8"/>
    </row>
    <row r="355" spans="1:5" ht="36.950000000000003" customHeight="1" thickBot="1" x14ac:dyDescent="0.3">
      <c r="A355" s="56"/>
      <c r="B355" s="56"/>
      <c r="C355" s="4"/>
      <c r="D355" s="4"/>
      <c r="E355" s="8"/>
    </row>
    <row r="356" spans="1:5" ht="36.950000000000003" customHeight="1" thickBot="1" x14ac:dyDescent="0.3">
      <c r="A356" s="56"/>
      <c r="B356" s="56"/>
      <c r="C356" s="4"/>
      <c r="D356" s="4"/>
      <c r="E356" s="8"/>
    </row>
    <row r="357" spans="1:5" ht="36.950000000000003" customHeight="1" thickBot="1" x14ac:dyDescent="0.3">
      <c r="A357" s="56"/>
      <c r="B357" s="56"/>
      <c r="C357" s="4"/>
      <c r="D357" s="4"/>
      <c r="E357" s="8"/>
    </row>
    <row r="358" spans="1:5" ht="36.950000000000003" customHeight="1" thickBot="1" x14ac:dyDescent="0.3">
      <c r="A358" s="56"/>
      <c r="B358" s="56"/>
      <c r="C358" s="4"/>
      <c r="D358" s="4"/>
      <c r="E358" s="8"/>
    </row>
    <row r="359" spans="1:5" ht="36.950000000000003" customHeight="1" thickBot="1" x14ac:dyDescent="0.3">
      <c r="A359" s="56"/>
      <c r="B359" s="56"/>
      <c r="C359" s="4"/>
      <c r="D359" s="4"/>
      <c r="E359" s="8"/>
    </row>
    <row r="360" spans="1:5" ht="36.950000000000003" customHeight="1" thickBot="1" x14ac:dyDescent="0.3">
      <c r="A360" s="56"/>
      <c r="B360" s="56"/>
      <c r="C360" s="4"/>
      <c r="D360" s="4"/>
      <c r="E360" s="8"/>
    </row>
    <row r="361" spans="1:5" ht="36.950000000000003" customHeight="1" thickBot="1" x14ac:dyDescent="0.3">
      <c r="A361" s="56"/>
      <c r="B361" s="56"/>
      <c r="C361" s="4"/>
      <c r="D361" s="4"/>
      <c r="E361" s="8"/>
    </row>
    <row r="362" spans="1:5" ht="36.950000000000003" customHeight="1" thickBot="1" x14ac:dyDescent="0.3">
      <c r="A362" s="56"/>
      <c r="B362" s="56"/>
      <c r="C362" s="4"/>
      <c r="D362" s="4"/>
      <c r="E362" s="8"/>
    </row>
    <row r="363" spans="1:5" ht="36.950000000000003" customHeight="1" thickBot="1" x14ac:dyDescent="0.3">
      <c r="A363" s="56"/>
      <c r="B363" s="56"/>
      <c r="C363" s="4"/>
      <c r="D363" s="4"/>
      <c r="E363" s="8"/>
    </row>
    <row r="364" spans="1:5" ht="36.950000000000003" customHeight="1" thickBot="1" x14ac:dyDescent="0.3">
      <c r="A364" s="56"/>
      <c r="B364" s="56"/>
      <c r="C364" s="4"/>
      <c r="D364" s="4"/>
      <c r="E364" s="8"/>
    </row>
    <row r="365" spans="1:5" ht="36.950000000000003" customHeight="1" thickBot="1" x14ac:dyDescent="0.3">
      <c r="A365" s="56"/>
      <c r="B365" s="56"/>
      <c r="C365" s="4"/>
      <c r="D365" s="4"/>
      <c r="E365" s="8"/>
    </row>
    <row r="366" spans="1:5" ht="36.950000000000003" customHeight="1" thickBot="1" x14ac:dyDescent="0.3">
      <c r="A366" s="56"/>
      <c r="B366" s="56"/>
      <c r="C366" s="4"/>
      <c r="D366" s="4"/>
      <c r="E366" s="8"/>
    </row>
    <row r="367" spans="1:5" ht="36.950000000000003" customHeight="1" thickBot="1" x14ac:dyDescent="0.3">
      <c r="A367" s="56"/>
      <c r="B367" s="56"/>
      <c r="C367" s="4"/>
      <c r="D367" s="4"/>
      <c r="E367" s="8"/>
    </row>
    <row r="368" spans="1:5" ht="36.950000000000003" customHeight="1" thickBot="1" x14ac:dyDescent="0.3">
      <c r="A368" s="56"/>
      <c r="B368" s="56"/>
      <c r="C368" s="4"/>
      <c r="D368" s="4"/>
      <c r="E368" s="8"/>
    </row>
    <row r="369" spans="1:5" ht="36.950000000000003" customHeight="1" thickBot="1" x14ac:dyDescent="0.3">
      <c r="A369" s="56"/>
      <c r="B369" s="56"/>
      <c r="C369" s="4"/>
      <c r="D369" s="4"/>
      <c r="E369" s="8"/>
    </row>
    <row r="370" spans="1:5" ht="36.950000000000003" customHeight="1" thickBot="1" x14ac:dyDescent="0.3">
      <c r="A370" s="56"/>
      <c r="B370" s="56"/>
      <c r="C370" s="4"/>
      <c r="D370" s="4"/>
      <c r="E370" s="8"/>
    </row>
    <row r="371" spans="1:5" ht="36.950000000000003" customHeight="1" thickBot="1" x14ac:dyDescent="0.3">
      <c r="A371" s="56"/>
      <c r="B371" s="56"/>
      <c r="C371" s="4"/>
      <c r="D371" s="4"/>
      <c r="E371" s="8"/>
    </row>
    <row r="372" spans="1:5" ht="36.950000000000003" customHeight="1" thickBot="1" x14ac:dyDescent="0.3">
      <c r="A372" s="56"/>
      <c r="B372" s="56"/>
      <c r="C372" s="4"/>
      <c r="D372" s="4"/>
      <c r="E372" s="8"/>
    </row>
    <row r="373" spans="1:5" ht="36.950000000000003" customHeight="1" thickBot="1" x14ac:dyDescent="0.3">
      <c r="A373" s="56"/>
      <c r="B373" s="56"/>
      <c r="C373" s="4"/>
      <c r="D373" s="4"/>
      <c r="E373" s="8"/>
    </row>
    <row r="374" spans="1:5" ht="36.950000000000003" customHeight="1" thickBot="1" x14ac:dyDescent="0.3">
      <c r="A374" s="56"/>
      <c r="B374" s="56"/>
      <c r="C374" s="4"/>
      <c r="D374" s="4"/>
      <c r="E374" s="8"/>
    </row>
    <row r="375" spans="1:5" ht="36.950000000000003" customHeight="1" thickBot="1" x14ac:dyDescent="0.3">
      <c r="A375" s="56"/>
      <c r="B375" s="56"/>
      <c r="C375" s="4"/>
      <c r="D375" s="4"/>
      <c r="E375" s="8"/>
    </row>
    <row r="376" spans="1:5" ht="36.950000000000003" customHeight="1" thickBot="1" x14ac:dyDescent="0.3">
      <c r="A376" s="56"/>
      <c r="B376" s="56"/>
      <c r="C376" s="4"/>
      <c r="D376" s="4"/>
      <c r="E376" s="8"/>
    </row>
    <row r="377" spans="1:5" ht="36.950000000000003" customHeight="1" thickBot="1" x14ac:dyDescent="0.3">
      <c r="A377" s="56"/>
      <c r="B377" s="56"/>
      <c r="C377" s="4"/>
      <c r="D377" s="4"/>
      <c r="E377" s="8"/>
    </row>
    <row r="378" spans="1:5" ht="36.950000000000003" customHeight="1" thickBot="1" x14ac:dyDescent="0.3">
      <c r="A378" s="56"/>
      <c r="B378" s="56"/>
      <c r="C378" s="4"/>
      <c r="D378" s="4"/>
      <c r="E378" s="8"/>
    </row>
    <row r="379" spans="1:5" ht="36.950000000000003" customHeight="1" thickBot="1" x14ac:dyDescent="0.3">
      <c r="A379" s="56"/>
      <c r="B379" s="56"/>
      <c r="C379" s="4"/>
      <c r="D379" s="4"/>
      <c r="E379" s="8"/>
    </row>
    <row r="380" spans="1:5" ht="36.950000000000003" customHeight="1" thickBot="1" x14ac:dyDescent="0.3">
      <c r="A380" s="56"/>
      <c r="B380" s="56"/>
      <c r="C380" s="4"/>
      <c r="D380" s="4"/>
      <c r="E380" s="8"/>
    </row>
    <row r="381" spans="1:5" ht="36.950000000000003" customHeight="1" thickBot="1" x14ac:dyDescent="0.3">
      <c r="A381" s="56"/>
      <c r="B381" s="56"/>
      <c r="C381" s="4"/>
      <c r="D381" s="4"/>
      <c r="E381" s="8"/>
    </row>
    <row r="382" spans="1:5" ht="36.950000000000003" customHeight="1" thickBot="1" x14ac:dyDescent="0.3">
      <c r="A382" s="56"/>
      <c r="B382" s="56"/>
      <c r="C382" s="4"/>
      <c r="D382" s="4"/>
      <c r="E382" s="8"/>
    </row>
    <row r="383" spans="1:5" ht="36.950000000000003" customHeight="1" thickBot="1" x14ac:dyDescent="0.3">
      <c r="A383" s="56"/>
      <c r="B383" s="56"/>
      <c r="C383" s="4"/>
      <c r="D383" s="4"/>
      <c r="E383" s="8"/>
    </row>
    <row r="384" spans="1:5" ht="36.950000000000003" customHeight="1" thickBot="1" x14ac:dyDescent="0.3">
      <c r="A384" s="56"/>
      <c r="B384" s="56"/>
      <c r="C384" s="4"/>
      <c r="D384" s="4"/>
      <c r="E384" s="8"/>
    </row>
    <row r="385" spans="1:5" ht="36.950000000000003" customHeight="1" thickBot="1" x14ac:dyDescent="0.3">
      <c r="A385" s="56"/>
      <c r="B385" s="56"/>
      <c r="C385" s="4"/>
      <c r="D385" s="4"/>
      <c r="E385" s="8"/>
    </row>
    <row r="386" spans="1:5" ht="36.950000000000003" customHeight="1" thickBot="1" x14ac:dyDescent="0.3">
      <c r="A386" s="56"/>
      <c r="B386" s="56"/>
      <c r="C386" s="4"/>
      <c r="D386" s="4"/>
      <c r="E386" s="8"/>
    </row>
    <row r="387" spans="1:5" ht="36.950000000000003" customHeight="1" thickBot="1" x14ac:dyDescent="0.3">
      <c r="A387" s="56"/>
      <c r="B387" s="56"/>
      <c r="C387" s="4"/>
      <c r="D387" s="4"/>
      <c r="E387" s="8"/>
    </row>
    <row r="388" spans="1:5" ht="36.950000000000003" customHeight="1" thickBot="1" x14ac:dyDescent="0.3">
      <c r="A388" s="56"/>
      <c r="B388" s="56"/>
      <c r="C388" s="4"/>
      <c r="D388" s="4"/>
      <c r="E388" s="8"/>
    </row>
    <row r="389" spans="1:5" ht="36.950000000000003" customHeight="1" thickBot="1" x14ac:dyDescent="0.3">
      <c r="A389" s="56"/>
      <c r="B389" s="56"/>
      <c r="C389" s="4"/>
      <c r="D389" s="4"/>
      <c r="E389" s="8"/>
    </row>
    <row r="390" spans="1:5" ht="36.950000000000003" customHeight="1" thickBot="1" x14ac:dyDescent="0.3">
      <c r="A390" s="56"/>
      <c r="B390" s="56"/>
      <c r="C390" s="4"/>
      <c r="D390" s="4"/>
      <c r="E390" s="8"/>
    </row>
    <row r="391" spans="1:5" ht="36.950000000000003" customHeight="1" thickBot="1" x14ac:dyDescent="0.3">
      <c r="A391" s="56"/>
      <c r="B391" s="56"/>
      <c r="C391" s="4"/>
      <c r="D391" s="4"/>
      <c r="E391" s="8"/>
    </row>
    <row r="392" spans="1:5" ht="36.950000000000003" customHeight="1" thickBot="1" x14ac:dyDescent="0.3">
      <c r="A392" s="56"/>
      <c r="B392" s="56"/>
      <c r="C392" s="4"/>
      <c r="D392" s="4"/>
      <c r="E392" s="8"/>
    </row>
    <row r="393" spans="1:5" ht="36.950000000000003" customHeight="1" thickBot="1" x14ac:dyDescent="0.3">
      <c r="A393" s="56"/>
      <c r="B393" s="56"/>
      <c r="C393" s="4"/>
      <c r="D393" s="4"/>
      <c r="E393" s="8"/>
    </row>
    <row r="394" spans="1:5" ht="36.950000000000003" customHeight="1" thickBot="1" x14ac:dyDescent="0.3">
      <c r="A394" s="56"/>
      <c r="B394" s="56"/>
      <c r="C394" s="4"/>
      <c r="D394" s="4"/>
      <c r="E394" s="8"/>
    </row>
    <row r="395" spans="1:5" ht="36.950000000000003" customHeight="1" thickBot="1" x14ac:dyDescent="0.3">
      <c r="A395" s="56"/>
      <c r="B395" s="56"/>
      <c r="C395" s="4"/>
      <c r="D395" s="4"/>
      <c r="E395" s="8"/>
    </row>
    <row r="396" spans="1:5" ht="36.950000000000003" customHeight="1" thickBot="1" x14ac:dyDescent="0.3">
      <c r="A396" s="56"/>
      <c r="B396" s="56"/>
      <c r="C396" s="4"/>
      <c r="D396" s="4"/>
      <c r="E396" s="8"/>
    </row>
    <row r="397" spans="1:5" ht="36.950000000000003" customHeight="1" thickBot="1" x14ac:dyDescent="0.3">
      <c r="A397" s="56"/>
      <c r="B397" s="56"/>
      <c r="C397" s="4"/>
      <c r="D397" s="4"/>
      <c r="E397" s="8"/>
    </row>
    <row r="398" spans="1:5" ht="36.950000000000003" customHeight="1" thickBot="1" x14ac:dyDescent="0.3">
      <c r="A398" s="56"/>
      <c r="B398" s="56"/>
      <c r="C398" s="4"/>
      <c r="D398" s="4"/>
      <c r="E398" s="8"/>
    </row>
    <row r="399" spans="1:5" ht="36.950000000000003" customHeight="1" thickBot="1" x14ac:dyDescent="0.3">
      <c r="A399" s="56"/>
      <c r="B399" s="56"/>
      <c r="C399" s="4"/>
      <c r="D399" s="4"/>
      <c r="E399" s="8"/>
    </row>
    <row r="400" spans="1:5" ht="36.950000000000003" customHeight="1" thickBot="1" x14ac:dyDescent="0.3">
      <c r="A400" s="56"/>
      <c r="B400" s="56"/>
      <c r="C400" s="4"/>
      <c r="D400" s="4"/>
      <c r="E400" s="8"/>
    </row>
    <row r="401" spans="1:5" ht="36.950000000000003" customHeight="1" thickBot="1" x14ac:dyDescent="0.3">
      <c r="A401" s="56"/>
      <c r="B401" s="56"/>
      <c r="C401" s="4"/>
      <c r="D401" s="4"/>
      <c r="E401" s="8"/>
    </row>
    <row r="402" spans="1:5" ht="36.950000000000003" customHeight="1" thickBot="1" x14ac:dyDescent="0.3">
      <c r="A402" s="56"/>
      <c r="B402" s="56"/>
      <c r="C402" s="4"/>
      <c r="D402" s="4"/>
      <c r="E402" s="8"/>
    </row>
    <row r="403" spans="1:5" ht="36.950000000000003" customHeight="1" thickBot="1" x14ac:dyDescent="0.3">
      <c r="A403" s="56"/>
      <c r="B403" s="56"/>
      <c r="C403" s="4"/>
      <c r="D403" s="4"/>
      <c r="E403" s="8"/>
    </row>
    <row r="404" spans="1:5" ht="36.950000000000003" customHeight="1" thickBot="1" x14ac:dyDescent="0.3">
      <c r="A404" s="56"/>
      <c r="B404" s="56"/>
      <c r="C404" s="4"/>
      <c r="D404" s="4"/>
      <c r="E404" s="8"/>
    </row>
    <row r="405" spans="1:5" ht="36.950000000000003" customHeight="1" thickBot="1" x14ac:dyDescent="0.3">
      <c r="A405" s="56"/>
      <c r="B405" s="56"/>
      <c r="C405" s="4"/>
      <c r="D405" s="4"/>
      <c r="E405" s="8"/>
    </row>
    <row r="406" spans="1:5" ht="36.950000000000003" customHeight="1" thickBot="1" x14ac:dyDescent="0.3">
      <c r="A406" s="56"/>
      <c r="B406" s="56"/>
      <c r="C406" s="4"/>
      <c r="D406" s="4"/>
      <c r="E406" s="8"/>
    </row>
    <row r="407" spans="1:5" ht="36.950000000000003" customHeight="1" thickBot="1" x14ac:dyDescent="0.3">
      <c r="A407" s="56"/>
      <c r="B407" s="56"/>
      <c r="C407" s="4"/>
      <c r="D407" s="4"/>
      <c r="E407" s="8"/>
    </row>
    <row r="408" spans="1:5" ht="36.950000000000003" customHeight="1" thickBot="1" x14ac:dyDescent="0.3">
      <c r="A408" s="56"/>
      <c r="B408" s="56"/>
      <c r="C408" s="4"/>
      <c r="D408" s="4"/>
      <c r="E408" s="8"/>
    </row>
    <row r="409" spans="1:5" ht="36.950000000000003" customHeight="1" thickBot="1" x14ac:dyDescent="0.3">
      <c r="A409" s="56"/>
      <c r="B409" s="56"/>
      <c r="C409" s="4"/>
      <c r="D409" s="4"/>
      <c r="E409" s="8"/>
    </row>
    <row r="410" spans="1:5" ht="36.950000000000003" customHeight="1" thickBot="1" x14ac:dyDescent="0.3">
      <c r="A410" s="56"/>
      <c r="B410" s="56"/>
      <c r="C410" s="4"/>
      <c r="D410" s="4"/>
      <c r="E410" s="8"/>
    </row>
    <row r="411" spans="1:5" ht="36.950000000000003" customHeight="1" thickBot="1" x14ac:dyDescent="0.3">
      <c r="A411" s="56"/>
      <c r="B411" s="56"/>
      <c r="C411" s="4"/>
      <c r="D411" s="4"/>
      <c r="E411" s="8"/>
    </row>
    <row r="412" spans="1:5" ht="36.950000000000003" customHeight="1" thickBot="1" x14ac:dyDescent="0.3">
      <c r="A412" s="56"/>
      <c r="B412" s="56"/>
      <c r="C412" s="4"/>
      <c r="D412" s="4"/>
      <c r="E412" s="8"/>
    </row>
    <row r="413" spans="1:5" ht="36.950000000000003" customHeight="1" thickBot="1" x14ac:dyDescent="0.3">
      <c r="A413" s="56"/>
      <c r="B413" s="56"/>
      <c r="C413" s="4"/>
      <c r="D413" s="4"/>
      <c r="E413" s="8"/>
    </row>
    <row r="414" spans="1:5" ht="36.950000000000003" customHeight="1" thickBot="1" x14ac:dyDescent="0.3">
      <c r="A414" s="56"/>
      <c r="B414" s="56"/>
      <c r="C414" s="4"/>
      <c r="D414" s="4"/>
      <c r="E414" s="8"/>
    </row>
    <row r="415" spans="1:5" ht="36.950000000000003" customHeight="1" thickBot="1" x14ac:dyDescent="0.3">
      <c r="A415" s="56"/>
      <c r="B415" s="56"/>
      <c r="C415" s="4"/>
      <c r="D415" s="4"/>
      <c r="E415" s="8"/>
    </row>
    <row r="416" spans="1:5" ht="36.950000000000003" customHeight="1" thickBot="1" x14ac:dyDescent="0.3">
      <c r="A416" s="56"/>
      <c r="B416" s="56"/>
      <c r="C416" s="4"/>
      <c r="D416" s="4"/>
      <c r="E416" s="8"/>
    </row>
    <row r="417" spans="1:5" ht="36.950000000000003" customHeight="1" thickBot="1" x14ac:dyDescent="0.3">
      <c r="A417" s="56"/>
      <c r="B417" s="56"/>
      <c r="C417" s="4"/>
      <c r="D417" s="4"/>
      <c r="E417" s="8"/>
    </row>
    <row r="418" spans="1:5" ht="36.950000000000003" customHeight="1" thickBot="1" x14ac:dyDescent="0.3">
      <c r="A418" s="56"/>
      <c r="B418" s="56"/>
      <c r="C418" s="4"/>
      <c r="D418" s="4"/>
      <c r="E418" s="8"/>
    </row>
    <row r="419" spans="1:5" ht="36.950000000000003" customHeight="1" thickBot="1" x14ac:dyDescent="0.3">
      <c r="A419" s="56"/>
      <c r="B419" s="56"/>
      <c r="C419" s="4"/>
      <c r="D419" s="4"/>
      <c r="E419" s="8"/>
    </row>
    <row r="420" spans="1:5" ht="36.950000000000003" customHeight="1" thickBot="1" x14ac:dyDescent="0.3">
      <c r="A420" s="56"/>
      <c r="B420" s="56"/>
      <c r="C420" s="4"/>
      <c r="D420" s="4"/>
      <c r="E420" s="8"/>
    </row>
    <row r="421" spans="1:5" ht="36.950000000000003" customHeight="1" thickBot="1" x14ac:dyDescent="0.3">
      <c r="A421" s="56"/>
      <c r="B421" s="56"/>
      <c r="C421" s="4"/>
      <c r="D421" s="4"/>
      <c r="E421" s="8"/>
    </row>
    <row r="422" spans="1:5" ht="36.950000000000003" customHeight="1" thickBot="1" x14ac:dyDescent="0.3">
      <c r="A422" s="56"/>
      <c r="B422" s="56"/>
      <c r="C422" s="4"/>
      <c r="D422" s="4"/>
      <c r="E422" s="8"/>
    </row>
    <row r="423" spans="1:5" ht="36.950000000000003" customHeight="1" thickBot="1" x14ac:dyDescent="0.3">
      <c r="A423" s="56"/>
      <c r="B423" s="56"/>
      <c r="C423" s="4"/>
      <c r="D423" s="4"/>
      <c r="E423" s="8"/>
    </row>
    <row r="424" spans="1:5" ht="36.950000000000003" customHeight="1" thickBot="1" x14ac:dyDescent="0.3">
      <c r="A424" s="56"/>
      <c r="B424" s="56"/>
      <c r="C424" s="4"/>
      <c r="D424" s="4"/>
      <c r="E424" s="8"/>
    </row>
    <row r="425" spans="1:5" ht="36.950000000000003" customHeight="1" thickBot="1" x14ac:dyDescent="0.3">
      <c r="A425" s="56"/>
      <c r="B425" s="56"/>
      <c r="C425" s="4"/>
      <c r="D425" s="4"/>
      <c r="E425" s="8"/>
    </row>
    <row r="426" spans="1:5" ht="36.950000000000003" customHeight="1" thickBot="1" x14ac:dyDescent="0.3">
      <c r="A426" s="56"/>
      <c r="B426" s="56"/>
      <c r="C426" s="4"/>
      <c r="D426" s="4"/>
      <c r="E426" s="8"/>
    </row>
    <row r="427" spans="1:5" ht="36.950000000000003" customHeight="1" thickBot="1" x14ac:dyDescent="0.3">
      <c r="A427" s="56"/>
      <c r="B427" s="56"/>
      <c r="C427" s="4"/>
      <c r="D427" s="4"/>
      <c r="E427" s="8"/>
    </row>
    <row r="428" spans="1:5" ht="36.950000000000003" customHeight="1" thickBot="1" x14ac:dyDescent="0.3">
      <c r="A428" s="56"/>
      <c r="B428" s="56"/>
      <c r="C428" s="4"/>
      <c r="D428" s="4"/>
      <c r="E428" s="8"/>
    </row>
    <row r="429" spans="1:5" ht="36.950000000000003" customHeight="1" thickBot="1" x14ac:dyDescent="0.3">
      <c r="A429" s="56"/>
      <c r="B429" s="56"/>
      <c r="C429" s="4"/>
      <c r="D429" s="4"/>
      <c r="E429" s="8"/>
    </row>
    <row r="430" spans="1:5" ht="36.950000000000003" customHeight="1" thickBot="1" x14ac:dyDescent="0.3">
      <c r="A430" s="56"/>
      <c r="B430" s="56"/>
      <c r="C430" s="4"/>
      <c r="D430" s="4"/>
      <c r="E430" s="8"/>
    </row>
    <row r="431" spans="1:5" ht="36.950000000000003" customHeight="1" thickBot="1" x14ac:dyDescent="0.3">
      <c r="A431" s="56"/>
      <c r="B431" s="56"/>
      <c r="C431" s="4"/>
      <c r="D431" s="4"/>
      <c r="E431" s="8"/>
    </row>
    <row r="432" spans="1:5" ht="36.950000000000003" customHeight="1" thickBot="1" x14ac:dyDescent="0.3">
      <c r="A432" s="56"/>
      <c r="B432" s="56"/>
      <c r="C432" s="4"/>
      <c r="D432" s="4"/>
      <c r="E432" s="8"/>
    </row>
    <row r="433" spans="1:5" ht="36.950000000000003" customHeight="1" thickBot="1" x14ac:dyDescent="0.3">
      <c r="A433" s="56"/>
      <c r="B433" s="56"/>
      <c r="C433" s="4"/>
      <c r="D433" s="4"/>
      <c r="E433" s="8"/>
    </row>
    <row r="434" spans="1:5" ht="36.950000000000003" customHeight="1" thickBot="1" x14ac:dyDescent="0.3">
      <c r="A434" s="56"/>
      <c r="B434" s="56"/>
      <c r="C434" s="4"/>
      <c r="D434" s="4"/>
      <c r="E434" s="8"/>
    </row>
    <row r="435" spans="1:5" ht="36.950000000000003" customHeight="1" thickBot="1" x14ac:dyDescent="0.3">
      <c r="A435" s="56"/>
      <c r="B435" s="56"/>
      <c r="C435" s="4"/>
      <c r="D435" s="4"/>
      <c r="E435" s="8"/>
    </row>
    <row r="436" spans="1:5" ht="36.950000000000003" customHeight="1" thickBot="1" x14ac:dyDescent="0.3">
      <c r="A436" s="56"/>
      <c r="B436" s="56"/>
      <c r="C436" s="4"/>
      <c r="D436" s="4"/>
      <c r="E436" s="8"/>
    </row>
    <row r="437" spans="1:5" ht="36.950000000000003" customHeight="1" thickBot="1" x14ac:dyDescent="0.3">
      <c r="A437" s="56"/>
      <c r="B437" s="56"/>
      <c r="C437" s="4"/>
      <c r="D437" s="4"/>
      <c r="E437" s="8"/>
    </row>
    <row r="438" spans="1:5" ht="36.950000000000003" customHeight="1" thickBot="1" x14ac:dyDescent="0.3">
      <c r="A438" s="56"/>
      <c r="B438" s="56"/>
      <c r="C438" s="4"/>
      <c r="D438" s="4"/>
      <c r="E438" s="8"/>
    </row>
    <row r="439" spans="1:5" ht="36.950000000000003" customHeight="1" thickBot="1" x14ac:dyDescent="0.3">
      <c r="A439" s="56"/>
      <c r="B439" s="56"/>
      <c r="C439" s="4"/>
      <c r="D439" s="4"/>
      <c r="E439" s="8"/>
    </row>
    <row r="440" spans="1:5" ht="36.950000000000003" customHeight="1" thickBot="1" x14ac:dyDescent="0.3">
      <c r="A440" s="56"/>
      <c r="B440" s="56"/>
      <c r="C440" s="4"/>
      <c r="D440" s="4"/>
      <c r="E440" s="8"/>
    </row>
    <row r="441" spans="1:5" ht="36.950000000000003" customHeight="1" thickBot="1" x14ac:dyDescent="0.3">
      <c r="A441" s="56"/>
      <c r="B441" s="56"/>
      <c r="C441" s="4"/>
      <c r="D441" s="4"/>
      <c r="E441" s="8"/>
    </row>
    <row r="442" spans="1:5" ht="36.950000000000003" customHeight="1" thickBot="1" x14ac:dyDescent="0.3">
      <c r="A442" s="56"/>
      <c r="B442" s="56"/>
      <c r="C442" s="4"/>
      <c r="D442" s="4"/>
      <c r="E442" s="8"/>
    </row>
    <row r="443" spans="1:5" ht="36.950000000000003" customHeight="1" thickBot="1" x14ac:dyDescent="0.3">
      <c r="A443" s="56"/>
      <c r="B443" s="56"/>
      <c r="C443" s="4"/>
      <c r="D443" s="4"/>
      <c r="E443" s="8"/>
    </row>
    <row r="444" spans="1:5" ht="36.950000000000003" customHeight="1" thickBot="1" x14ac:dyDescent="0.3">
      <c r="A444" s="56"/>
      <c r="B444" s="56"/>
      <c r="C444" s="4"/>
      <c r="D444" s="4"/>
      <c r="E444" s="8"/>
    </row>
    <row r="445" spans="1:5" ht="36.950000000000003" customHeight="1" thickBot="1" x14ac:dyDescent="0.3">
      <c r="A445" s="56"/>
      <c r="B445" s="56"/>
      <c r="C445" s="4"/>
      <c r="D445" s="4"/>
      <c r="E445" s="8"/>
    </row>
    <row r="446" spans="1:5" ht="36.950000000000003" customHeight="1" thickBot="1" x14ac:dyDescent="0.3">
      <c r="A446" s="56"/>
      <c r="B446" s="56"/>
      <c r="C446" s="4"/>
      <c r="D446" s="4"/>
      <c r="E446" s="8"/>
    </row>
    <row r="447" spans="1:5" ht="36.950000000000003" customHeight="1" thickBot="1" x14ac:dyDescent="0.3">
      <c r="A447" s="56"/>
      <c r="B447" s="56"/>
      <c r="C447" s="4"/>
      <c r="D447" s="4"/>
      <c r="E447" s="8"/>
    </row>
    <row r="448" spans="1:5" ht="36.950000000000003" customHeight="1" thickBot="1" x14ac:dyDescent="0.3">
      <c r="A448" s="56"/>
      <c r="B448" s="56"/>
      <c r="C448" s="4"/>
      <c r="D448" s="4"/>
      <c r="E448" s="8"/>
    </row>
    <row r="449" spans="1:5" ht="36.950000000000003" customHeight="1" thickBot="1" x14ac:dyDescent="0.3">
      <c r="A449" s="56"/>
      <c r="B449" s="56"/>
      <c r="C449" s="4"/>
      <c r="D449" s="4"/>
      <c r="E449" s="8"/>
    </row>
    <row r="450" spans="1:5" ht="36.950000000000003" customHeight="1" thickBot="1" x14ac:dyDescent="0.3">
      <c r="A450" s="56"/>
      <c r="B450" s="56"/>
      <c r="C450" s="4"/>
      <c r="D450" s="4"/>
      <c r="E450" s="8"/>
    </row>
    <row r="451" spans="1:5" ht="36.950000000000003" customHeight="1" thickBot="1" x14ac:dyDescent="0.3">
      <c r="A451" s="56"/>
      <c r="B451" s="56"/>
      <c r="C451" s="4"/>
      <c r="D451" s="4"/>
      <c r="E451" s="8"/>
    </row>
    <row r="452" spans="1:5" ht="36.950000000000003" customHeight="1" thickBot="1" x14ac:dyDescent="0.3">
      <c r="A452" s="56"/>
      <c r="B452" s="56"/>
      <c r="C452" s="4"/>
      <c r="D452" s="4"/>
      <c r="E452" s="8"/>
    </row>
    <row r="453" spans="1:5" ht="36.950000000000003" customHeight="1" thickBot="1" x14ac:dyDescent="0.3">
      <c r="A453" s="56"/>
      <c r="B453" s="56"/>
      <c r="C453" s="4"/>
      <c r="D453" s="4"/>
      <c r="E453" s="8"/>
    </row>
    <row r="454" spans="1:5" ht="36.950000000000003" customHeight="1" thickBot="1" x14ac:dyDescent="0.3">
      <c r="A454" s="56"/>
      <c r="B454" s="56"/>
      <c r="C454" s="4"/>
      <c r="D454" s="4"/>
      <c r="E454" s="8"/>
    </row>
    <row r="455" spans="1:5" ht="36.950000000000003" customHeight="1" thickBot="1" x14ac:dyDescent="0.3">
      <c r="A455" s="56"/>
      <c r="B455" s="56"/>
      <c r="C455" s="4"/>
      <c r="D455" s="4"/>
      <c r="E455" s="8"/>
    </row>
    <row r="456" spans="1:5" ht="36.950000000000003" customHeight="1" thickBot="1" x14ac:dyDescent="0.3">
      <c r="A456" s="56"/>
      <c r="B456" s="56"/>
      <c r="C456" s="4"/>
      <c r="D456" s="4"/>
      <c r="E456" s="8"/>
    </row>
    <row r="457" spans="1:5" ht="36.950000000000003" customHeight="1" thickBot="1" x14ac:dyDescent="0.3">
      <c r="A457" s="56"/>
      <c r="B457" s="56"/>
      <c r="C457" s="4"/>
      <c r="D457" s="4"/>
      <c r="E457" s="8"/>
    </row>
    <row r="458" spans="1:5" ht="36.950000000000003" customHeight="1" thickBot="1" x14ac:dyDescent="0.3">
      <c r="A458" s="56"/>
      <c r="B458" s="56"/>
      <c r="C458" s="4"/>
      <c r="D458" s="4"/>
      <c r="E458" s="8"/>
    </row>
    <row r="459" spans="1:5" ht="36.950000000000003" customHeight="1" thickBot="1" x14ac:dyDescent="0.3">
      <c r="A459" s="56"/>
      <c r="B459" s="56"/>
      <c r="C459" s="4"/>
      <c r="D459" s="4"/>
      <c r="E459" s="8"/>
    </row>
    <row r="460" spans="1:5" ht="36.950000000000003" customHeight="1" thickBot="1" x14ac:dyDescent="0.3">
      <c r="A460" s="56"/>
      <c r="B460" s="56"/>
      <c r="C460" s="4"/>
      <c r="D460" s="4"/>
      <c r="E460" s="8"/>
    </row>
    <row r="461" spans="1:5" ht="36.950000000000003" customHeight="1" thickBot="1" x14ac:dyDescent="0.3">
      <c r="A461" s="56"/>
      <c r="B461" s="56"/>
      <c r="C461" s="4"/>
      <c r="D461" s="4"/>
      <c r="E461" s="8"/>
    </row>
    <row r="462" spans="1:5" ht="36.950000000000003" customHeight="1" thickBot="1" x14ac:dyDescent="0.3">
      <c r="A462" s="56"/>
      <c r="B462" s="56"/>
      <c r="C462" s="4"/>
      <c r="D462" s="4"/>
      <c r="E462" s="8"/>
    </row>
    <row r="463" spans="1:5" ht="36.950000000000003" customHeight="1" thickBot="1" x14ac:dyDescent="0.3">
      <c r="A463" s="56"/>
      <c r="B463" s="56"/>
      <c r="C463" s="4"/>
      <c r="D463" s="4"/>
      <c r="E463" s="8"/>
    </row>
    <row r="464" spans="1:5" ht="36.950000000000003" customHeight="1" thickBot="1" x14ac:dyDescent="0.3">
      <c r="A464" s="56"/>
      <c r="B464" s="56"/>
      <c r="C464" s="4"/>
      <c r="D464" s="4"/>
      <c r="E464" s="8"/>
    </row>
    <row r="465" spans="1:5" ht="36.950000000000003" customHeight="1" thickBot="1" x14ac:dyDescent="0.3">
      <c r="A465" s="56"/>
      <c r="B465" s="56"/>
      <c r="C465" s="4"/>
      <c r="D465" s="4"/>
      <c r="E465" s="8"/>
    </row>
    <row r="466" spans="1:5" ht="36.950000000000003" customHeight="1" thickBot="1" x14ac:dyDescent="0.3">
      <c r="A466" s="56"/>
      <c r="B466" s="56"/>
      <c r="C466" s="4"/>
      <c r="D466" s="4"/>
      <c r="E466" s="8"/>
    </row>
    <row r="467" spans="1:5" ht="36.950000000000003" customHeight="1" thickBot="1" x14ac:dyDescent="0.3">
      <c r="A467" s="56"/>
      <c r="B467" s="56"/>
      <c r="C467" s="4"/>
      <c r="D467" s="4"/>
      <c r="E467" s="8"/>
    </row>
    <row r="468" spans="1:5" ht="36.950000000000003" customHeight="1" thickBot="1" x14ac:dyDescent="0.3">
      <c r="A468" s="56"/>
      <c r="B468" s="56"/>
      <c r="C468" s="4"/>
      <c r="D468" s="4"/>
      <c r="E468" s="8"/>
    </row>
    <row r="469" spans="1:5" ht="36.950000000000003" customHeight="1" thickBot="1" x14ac:dyDescent="0.3">
      <c r="A469" s="56"/>
      <c r="B469" s="56"/>
      <c r="C469" s="4"/>
      <c r="D469" s="4"/>
      <c r="E469" s="8"/>
    </row>
    <row r="470" spans="1:5" ht="36.950000000000003" customHeight="1" thickBot="1" x14ac:dyDescent="0.3">
      <c r="A470" s="56"/>
      <c r="B470" s="56"/>
      <c r="C470" s="4"/>
      <c r="D470" s="4"/>
      <c r="E470" s="8"/>
    </row>
    <row r="471" spans="1:5" ht="36.950000000000003" customHeight="1" thickBot="1" x14ac:dyDescent="0.3">
      <c r="A471" s="56"/>
      <c r="B471" s="56"/>
      <c r="C471" s="4"/>
      <c r="D471" s="4"/>
      <c r="E471" s="8"/>
    </row>
    <row r="472" spans="1:5" ht="36.950000000000003" customHeight="1" thickBot="1" x14ac:dyDescent="0.3">
      <c r="A472" s="56"/>
      <c r="B472" s="56"/>
      <c r="C472" s="4"/>
      <c r="D472" s="4"/>
      <c r="E472" s="8"/>
    </row>
    <row r="473" spans="1:5" ht="36.950000000000003" customHeight="1" thickBot="1" x14ac:dyDescent="0.3">
      <c r="A473" s="56"/>
      <c r="B473" s="56"/>
      <c r="C473" s="4"/>
      <c r="D473" s="4"/>
      <c r="E473" s="8"/>
    </row>
    <row r="474" spans="1:5" ht="36.950000000000003" customHeight="1" thickBot="1" x14ac:dyDescent="0.3">
      <c r="A474" s="56"/>
      <c r="B474" s="56"/>
      <c r="C474" s="4"/>
      <c r="D474" s="4"/>
      <c r="E474" s="8"/>
    </row>
    <row r="475" spans="1:5" ht="36.950000000000003" customHeight="1" thickBot="1" x14ac:dyDescent="0.3">
      <c r="A475" s="56"/>
      <c r="B475" s="56"/>
      <c r="C475" s="4"/>
      <c r="D475" s="4"/>
      <c r="E475" s="8"/>
    </row>
    <row r="476" spans="1:5" ht="36.950000000000003" customHeight="1" thickBot="1" x14ac:dyDescent="0.3">
      <c r="A476" s="56"/>
      <c r="B476" s="56"/>
      <c r="C476" s="4"/>
      <c r="D476" s="4"/>
      <c r="E476" s="8"/>
    </row>
    <row r="477" spans="1:5" ht="36.950000000000003" customHeight="1" thickBot="1" x14ac:dyDescent="0.3">
      <c r="A477" s="56"/>
      <c r="B477" s="56"/>
      <c r="C477" s="4"/>
      <c r="D477" s="4"/>
      <c r="E477" s="8"/>
    </row>
    <row r="478" spans="1:5" ht="36.950000000000003" customHeight="1" thickBot="1" x14ac:dyDescent="0.3">
      <c r="A478" s="56"/>
      <c r="B478" s="56"/>
      <c r="C478" s="4"/>
      <c r="D478" s="4"/>
      <c r="E478" s="8"/>
    </row>
    <row r="479" spans="1:5" ht="36.950000000000003" customHeight="1" thickBot="1" x14ac:dyDescent="0.3">
      <c r="A479" s="56"/>
      <c r="B479" s="56"/>
      <c r="C479" s="4"/>
      <c r="D479" s="4"/>
      <c r="E479" s="8"/>
    </row>
    <row r="480" spans="1:5" ht="36.950000000000003" customHeight="1" thickBot="1" x14ac:dyDescent="0.3">
      <c r="A480" s="56"/>
      <c r="B480" s="56"/>
      <c r="C480" s="4"/>
      <c r="D480" s="4"/>
      <c r="E480" s="8"/>
    </row>
    <row r="481" spans="1:5" ht="36.950000000000003" customHeight="1" thickBot="1" x14ac:dyDescent="0.3">
      <c r="A481" s="56"/>
      <c r="B481" s="56"/>
      <c r="C481" s="4"/>
      <c r="D481" s="4"/>
      <c r="E481" s="8"/>
    </row>
    <row r="482" spans="1:5" ht="36.950000000000003" customHeight="1" thickBot="1" x14ac:dyDescent="0.3">
      <c r="A482" s="56"/>
      <c r="B482" s="56"/>
      <c r="C482" s="4"/>
      <c r="D482" s="4"/>
      <c r="E482" s="8"/>
    </row>
    <row r="483" spans="1:5" ht="36.950000000000003" customHeight="1" thickBot="1" x14ac:dyDescent="0.3">
      <c r="A483" s="56"/>
      <c r="B483" s="56"/>
      <c r="C483" s="4"/>
      <c r="D483" s="4"/>
      <c r="E483" s="8"/>
    </row>
    <row r="484" spans="1:5" ht="36.950000000000003" customHeight="1" thickBot="1" x14ac:dyDescent="0.3">
      <c r="A484" s="56"/>
      <c r="B484" s="56"/>
      <c r="C484" s="4"/>
      <c r="D484" s="4"/>
      <c r="E484" s="8"/>
    </row>
    <row r="485" spans="1:5" ht="36.950000000000003" customHeight="1" thickBot="1" x14ac:dyDescent="0.3">
      <c r="A485" s="56"/>
      <c r="B485" s="56"/>
      <c r="C485" s="4"/>
      <c r="D485" s="4"/>
      <c r="E485" s="8"/>
    </row>
    <row r="486" spans="1:5" ht="36.950000000000003" customHeight="1" thickBot="1" x14ac:dyDescent="0.3">
      <c r="A486" s="56"/>
      <c r="B486" s="56"/>
      <c r="C486" s="4"/>
      <c r="D486" s="4"/>
      <c r="E486" s="8"/>
    </row>
    <row r="487" spans="1:5" ht="36.950000000000003" customHeight="1" thickBot="1" x14ac:dyDescent="0.3">
      <c r="A487" s="56"/>
      <c r="B487" s="56"/>
      <c r="C487" s="4"/>
      <c r="D487" s="4"/>
      <c r="E487" s="8"/>
    </row>
    <row r="488" spans="1:5" ht="36.950000000000003" customHeight="1" thickBot="1" x14ac:dyDescent="0.3">
      <c r="A488" s="56"/>
      <c r="B488" s="56"/>
      <c r="C488" s="4"/>
      <c r="D488" s="4"/>
      <c r="E488" s="8"/>
    </row>
    <row r="489" spans="1:5" ht="36.950000000000003" customHeight="1" thickBot="1" x14ac:dyDescent="0.3">
      <c r="A489" s="56"/>
      <c r="B489" s="56"/>
      <c r="C489" s="4"/>
      <c r="D489" s="4"/>
      <c r="E489" s="8"/>
    </row>
    <row r="490" spans="1:5" ht="36.950000000000003" customHeight="1" thickBot="1" x14ac:dyDescent="0.3">
      <c r="A490" s="56"/>
      <c r="B490" s="56"/>
      <c r="C490" s="4"/>
      <c r="D490" s="4"/>
      <c r="E490" s="8"/>
    </row>
    <row r="491" spans="1:5" ht="36.950000000000003" customHeight="1" thickBot="1" x14ac:dyDescent="0.3">
      <c r="A491" s="56"/>
      <c r="B491" s="56"/>
      <c r="C491" s="4"/>
      <c r="D491" s="4"/>
      <c r="E491" s="8"/>
    </row>
    <row r="492" spans="1:5" ht="36.950000000000003" customHeight="1" thickBot="1" x14ac:dyDescent="0.3">
      <c r="A492" s="56"/>
      <c r="B492" s="56"/>
      <c r="C492" s="4"/>
      <c r="D492" s="4"/>
      <c r="E492" s="8"/>
    </row>
    <row r="493" spans="1:5" ht="36.950000000000003" customHeight="1" thickBot="1" x14ac:dyDescent="0.3">
      <c r="A493" s="56"/>
      <c r="B493" s="56"/>
      <c r="C493" s="4"/>
      <c r="D493" s="4"/>
      <c r="E493" s="8"/>
    </row>
    <row r="494" spans="1:5" ht="36.950000000000003" customHeight="1" thickBot="1" x14ac:dyDescent="0.3">
      <c r="A494" s="56"/>
      <c r="B494" s="56"/>
      <c r="C494" s="4"/>
      <c r="D494" s="4"/>
      <c r="E494" s="8"/>
    </row>
    <row r="495" spans="1:5" ht="36.950000000000003" customHeight="1" thickBot="1" x14ac:dyDescent="0.3">
      <c r="A495" s="56"/>
      <c r="B495" s="56"/>
      <c r="C495" s="4"/>
      <c r="D495" s="4"/>
      <c r="E495" s="8"/>
    </row>
    <row r="496" spans="1:5" ht="36.950000000000003" customHeight="1" thickBot="1" x14ac:dyDescent="0.3">
      <c r="A496" s="56"/>
      <c r="B496" s="56"/>
      <c r="C496" s="4"/>
      <c r="D496" s="4"/>
      <c r="E496" s="8"/>
    </row>
    <row r="497" spans="1:5" ht="36.950000000000003" customHeight="1" thickBot="1" x14ac:dyDescent="0.3">
      <c r="A497" s="56"/>
      <c r="B497" s="56"/>
      <c r="C497" s="4"/>
      <c r="D497" s="4"/>
      <c r="E497" s="8"/>
    </row>
    <row r="498" spans="1:5" ht="36.950000000000003" customHeight="1" thickBot="1" x14ac:dyDescent="0.3">
      <c r="A498" s="56"/>
      <c r="B498" s="56"/>
      <c r="C498" s="4"/>
      <c r="D498" s="4"/>
      <c r="E498" s="8"/>
    </row>
    <row r="499" spans="1:5" ht="36.950000000000003" customHeight="1" thickBot="1" x14ac:dyDescent="0.3">
      <c r="A499" s="56"/>
      <c r="B499" s="56"/>
      <c r="C499" s="4"/>
      <c r="D499" s="4"/>
      <c r="E499" s="8"/>
    </row>
    <row r="500" spans="1:5" ht="36.950000000000003" customHeight="1" thickBot="1" x14ac:dyDescent="0.3">
      <c r="A500" s="56"/>
      <c r="B500" s="56"/>
      <c r="C500" s="4"/>
      <c r="D500" s="4"/>
      <c r="E500" s="8"/>
    </row>
    <row r="501" spans="1:5" ht="36.950000000000003" customHeight="1" thickBot="1" x14ac:dyDescent="0.3">
      <c r="A501" s="56"/>
      <c r="B501" s="56"/>
      <c r="C501" s="4"/>
      <c r="D501" s="4"/>
      <c r="E501" s="8"/>
    </row>
    <row r="502" spans="1:5" ht="36.950000000000003" customHeight="1" thickBot="1" x14ac:dyDescent="0.3">
      <c r="A502" s="56"/>
      <c r="B502" s="56"/>
      <c r="C502" s="4"/>
      <c r="D502" s="4"/>
      <c r="E502" s="8"/>
    </row>
    <row r="503" spans="1:5" ht="36.950000000000003" customHeight="1" thickBot="1" x14ac:dyDescent="0.3">
      <c r="A503" s="56"/>
      <c r="B503" s="56"/>
      <c r="C503" s="4"/>
      <c r="D503" s="4"/>
      <c r="E503" s="8"/>
    </row>
    <row r="504" spans="1:5" ht="36.950000000000003" customHeight="1" thickBot="1" x14ac:dyDescent="0.3">
      <c r="A504" s="56"/>
      <c r="B504" s="56"/>
      <c r="C504" s="4"/>
      <c r="D504" s="4"/>
      <c r="E504" s="8"/>
    </row>
    <row r="505" spans="1:5" ht="36.950000000000003" customHeight="1" thickBot="1" x14ac:dyDescent="0.3">
      <c r="A505" s="56"/>
      <c r="B505" s="56"/>
      <c r="C505" s="4"/>
      <c r="D505" s="4"/>
      <c r="E505" s="8"/>
    </row>
    <row r="506" spans="1:5" ht="36.950000000000003" customHeight="1" thickBot="1" x14ac:dyDescent="0.3">
      <c r="A506" s="56"/>
      <c r="B506" s="56"/>
      <c r="C506" s="4"/>
      <c r="D506" s="4"/>
      <c r="E506" s="8"/>
    </row>
    <row r="507" spans="1:5" ht="36.950000000000003" customHeight="1" thickBot="1" x14ac:dyDescent="0.3">
      <c r="A507" s="56"/>
      <c r="B507" s="56"/>
      <c r="C507" s="4"/>
      <c r="D507" s="4"/>
      <c r="E507" s="8"/>
    </row>
    <row r="508" spans="1:5" ht="36.950000000000003" customHeight="1" thickBot="1" x14ac:dyDescent="0.3">
      <c r="A508" s="56"/>
      <c r="B508" s="56"/>
      <c r="C508" s="4"/>
      <c r="D508" s="4"/>
      <c r="E508" s="8"/>
    </row>
    <row r="509" spans="1:5" ht="36.950000000000003" customHeight="1" thickBot="1" x14ac:dyDescent="0.3">
      <c r="A509" s="56"/>
      <c r="B509" s="56"/>
      <c r="C509" s="4"/>
      <c r="D509" s="4"/>
      <c r="E509" s="8"/>
    </row>
    <row r="510" spans="1:5" ht="36.950000000000003" customHeight="1" thickBot="1" x14ac:dyDescent="0.3">
      <c r="A510" s="56"/>
      <c r="B510" s="56"/>
      <c r="C510" s="4"/>
      <c r="D510" s="4"/>
      <c r="E510" s="8"/>
    </row>
    <row r="511" spans="1:5" ht="36.950000000000003" customHeight="1" thickBot="1" x14ac:dyDescent="0.3">
      <c r="A511" s="56"/>
      <c r="B511" s="56"/>
      <c r="C511" s="4"/>
      <c r="D511" s="4"/>
      <c r="E511" s="8"/>
    </row>
    <row r="512" spans="1:5" ht="36.950000000000003" customHeight="1" thickBot="1" x14ac:dyDescent="0.3">
      <c r="A512" s="56"/>
      <c r="B512" s="56"/>
      <c r="C512" s="4"/>
      <c r="D512" s="4"/>
      <c r="E512" s="8"/>
    </row>
    <row r="513" spans="1:5" ht="36.950000000000003" customHeight="1" thickBot="1" x14ac:dyDescent="0.3">
      <c r="A513" s="56"/>
      <c r="B513" s="56"/>
      <c r="C513" s="4"/>
      <c r="D513" s="4"/>
      <c r="E513" s="8"/>
    </row>
    <row r="514" spans="1:5" ht="36.950000000000003" customHeight="1" thickBot="1" x14ac:dyDescent="0.3">
      <c r="A514" s="56"/>
      <c r="B514" s="56"/>
      <c r="C514" s="4"/>
      <c r="D514" s="4"/>
      <c r="E514" s="8"/>
    </row>
    <row r="515" spans="1:5" ht="36.950000000000003" customHeight="1" thickBot="1" x14ac:dyDescent="0.3">
      <c r="A515" s="56"/>
      <c r="B515" s="56"/>
      <c r="C515" s="4"/>
      <c r="D515" s="4"/>
      <c r="E515" s="8"/>
    </row>
    <row r="516" spans="1:5" ht="36.950000000000003" customHeight="1" thickBot="1" x14ac:dyDescent="0.3">
      <c r="A516" s="56"/>
      <c r="B516" s="56"/>
      <c r="C516" s="4"/>
      <c r="D516" s="4"/>
      <c r="E516" s="8"/>
    </row>
    <row r="517" spans="1:5" ht="36.950000000000003" customHeight="1" thickBot="1" x14ac:dyDescent="0.3">
      <c r="A517" s="56"/>
      <c r="B517" s="56"/>
      <c r="C517" s="4"/>
      <c r="D517" s="4"/>
      <c r="E517" s="8"/>
    </row>
    <row r="518" spans="1:5" ht="36.950000000000003" customHeight="1" thickBot="1" x14ac:dyDescent="0.3">
      <c r="A518" s="56"/>
      <c r="B518" s="56"/>
      <c r="C518" s="4"/>
      <c r="D518" s="4"/>
      <c r="E518" s="8"/>
    </row>
    <row r="519" spans="1:5" ht="36.950000000000003" customHeight="1" thickBot="1" x14ac:dyDescent="0.3">
      <c r="A519" s="56"/>
      <c r="B519" s="56"/>
      <c r="C519" s="4"/>
      <c r="D519" s="4"/>
      <c r="E519" s="8"/>
    </row>
    <row r="520" spans="1:5" ht="36.950000000000003" customHeight="1" thickBot="1" x14ac:dyDescent="0.3">
      <c r="A520" s="56"/>
      <c r="B520" s="56"/>
      <c r="C520" s="4"/>
      <c r="D520" s="4"/>
      <c r="E520" s="8"/>
    </row>
    <row r="521" spans="1:5" ht="36.950000000000003" customHeight="1" thickBot="1" x14ac:dyDescent="0.3">
      <c r="A521" s="56"/>
      <c r="B521" s="56"/>
      <c r="C521" s="4"/>
      <c r="D521" s="4"/>
      <c r="E521" s="8"/>
    </row>
    <row r="522" spans="1:5" ht="36.950000000000003" customHeight="1" thickBot="1" x14ac:dyDescent="0.3">
      <c r="A522" s="56"/>
      <c r="B522" s="56"/>
      <c r="C522" s="4"/>
      <c r="D522" s="4"/>
      <c r="E522" s="8"/>
    </row>
    <row r="523" spans="1:5" ht="36.950000000000003" customHeight="1" thickBot="1" x14ac:dyDescent="0.3">
      <c r="A523" s="56"/>
      <c r="B523" s="56"/>
      <c r="C523" s="4"/>
      <c r="D523" s="4"/>
      <c r="E523" s="8"/>
    </row>
    <row r="524" spans="1:5" ht="36.950000000000003" customHeight="1" thickBot="1" x14ac:dyDescent="0.3">
      <c r="A524" s="56"/>
      <c r="B524" s="56"/>
      <c r="C524" s="4"/>
      <c r="D524" s="4"/>
      <c r="E524" s="8"/>
    </row>
    <row r="525" spans="1:5" ht="36.950000000000003" customHeight="1" thickBot="1" x14ac:dyDescent="0.3">
      <c r="A525" s="56"/>
      <c r="B525" s="56"/>
      <c r="C525" s="4"/>
      <c r="D525" s="4"/>
      <c r="E525" s="8"/>
    </row>
    <row r="526" spans="1:5" ht="36.950000000000003" customHeight="1" thickBot="1" x14ac:dyDescent="0.3">
      <c r="A526" s="56"/>
      <c r="B526" s="56"/>
      <c r="C526" s="4"/>
      <c r="D526" s="4"/>
      <c r="E526" s="8"/>
    </row>
    <row r="527" spans="1:5" ht="36.950000000000003" customHeight="1" thickBot="1" x14ac:dyDescent="0.3">
      <c r="A527" s="56"/>
      <c r="B527" s="56"/>
      <c r="C527" s="4"/>
      <c r="D527" s="4"/>
      <c r="E527" s="8"/>
    </row>
    <row r="528" spans="1:5" ht="36.950000000000003" customHeight="1" thickBot="1" x14ac:dyDescent="0.3">
      <c r="A528" s="56"/>
      <c r="B528" s="56"/>
      <c r="C528" s="4"/>
      <c r="D528" s="4"/>
      <c r="E528" s="8"/>
    </row>
    <row r="529" spans="1:5" ht="36.950000000000003" customHeight="1" thickBot="1" x14ac:dyDescent="0.3">
      <c r="A529" s="56"/>
      <c r="B529" s="56"/>
      <c r="C529" s="4"/>
      <c r="D529" s="4"/>
      <c r="E529" s="8"/>
    </row>
    <row r="530" spans="1:5" ht="36.950000000000003" customHeight="1" thickBot="1" x14ac:dyDescent="0.3">
      <c r="A530" s="56"/>
      <c r="B530" s="56"/>
      <c r="C530" s="4"/>
      <c r="D530" s="4"/>
      <c r="E530" s="8"/>
    </row>
    <row r="531" spans="1:5" ht="36.950000000000003" customHeight="1" thickBot="1" x14ac:dyDescent="0.3">
      <c r="A531" s="56"/>
      <c r="B531" s="56"/>
      <c r="C531" s="4"/>
      <c r="D531" s="4"/>
      <c r="E531" s="8"/>
    </row>
    <row r="532" spans="1:5" ht="36.950000000000003" customHeight="1" thickBot="1" x14ac:dyDescent="0.3">
      <c r="A532" s="56"/>
      <c r="B532" s="56"/>
      <c r="C532" s="4"/>
      <c r="D532" s="4"/>
      <c r="E532" s="8"/>
    </row>
    <row r="533" spans="1:5" ht="36.950000000000003" customHeight="1" thickBot="1" x14ac:dyDescent="0.3">
      <c r="A533" s="56"/>
      <c r="B533" s="56"/>
      <c r="C533" s="4"/>
      <c r="D533" s="4"/>
      <c r="E533" s="8"/>
    </row>
    <row r="534" spans="1:5" ht="36.950000000000003" customHeight="1" thickBot="1" x14ac:dyDescent="0.3">
      <c r="A534" s="56"/>
      <c r="B534" s="56"/>
      <c r="C534" s="4"/>
      <c r="D534" s="4"/>
      <c r="E534" s="8"/>
    </row>
    <row r="535" spans="1:5" ht="36.950000000000003" customHeight="1" thickBot="1" x14ac:dyDescent="0.3">
      <c r="A535" s="56"/>
      <c r="B535" s="56"/>
      <c r="C535" s="4"/>
      <c r="D535" s="4"/>
      <c r="E535" s="8"/>
    </row>
    <row r="536" spans="1:5" ht="36.950000000000003" customHeight="1" thickBot="1" x14ac:dyDescent="0.3">
      <c r="A536" s="56"/>
      <c r="B536" s="56"/>
      <c r="C536" s="4"/>
      <c r="D536" s="4"/>
      <c r="E536" s="8"/>
    </row>
    <row r="537" spans="1:5" ht="36.950000000000003" customHeight="1" thickBot="1" x14ac:dyDescent="0.3">
      <c r="A537" s="56"/>
      <c r="B537" s="56"/>
      <c r="C537" s="4"/>
      <c r="D537" s="4"/>
      <c r="E537" s="8"/>
    </row>
    <row r="538" spans="1:5" ht="36.950000000000003" customHeight="1" thickBot="1" x14ac:dyDescent="0.3">
      <c r="A538" s="56"/>
      <c r="B538" s="56"/>
      <c r="C538" s="4"/>
      <c r="D538" s="4"/>
      <c r="E538" s="8"/>
    </row>
    <row r="539" spans="1:5" ht="36.950000000000003" customHeight="1" thickBot="1" x14ac:dyDescent="0.3">
      <c r="A539" s="56"/>
      <c r="B539" s="56"/>
      <c r="C539" s="4"/>
      <c r="D539" s="4"/>
      <c r="E539" s="8"/>
    </row>
    <row r="540" spans="1:5" ht="36.950000000000003" customHeight="1" thickBot="1" x14ac:dyDescent="0.3">
      <c r="A540" s="56"/>
      <c r="B540" s="56"/>
      <c r="C540" s="4"/>
      <c r="D540" s="4"/>
      <c r="E540" s="8"/>
    </row>
    <row r="541" spans="1:5" ht="36.950000000000003" customHeight="1" thickBot="1" x14ac:dyDescent="0.3">
      <c r="A541" s="56"/>
      <c r="B541" s="56"/>
      <c r="C541" s="4"/>
      <c r="D541" s="4"/>
      <c r="E541" s="8"/>
    </row>
    <row r="542" spans="1:5" ht="36.950000000000003" customHeight="1" thickBot="1" x14ac:dyDescent="0.3">
      <c r="A542" s="56"/>
      <c r="B542" s="56"/>
      <c r="C542" s="4"/>
      <c r="D542" s="4"/>
      <c r="E542" s="8"/>
    </row>
    <row r="543" spans="1:5" ht="36.950000000000003" customHeight="1" thickBot="1" x14ac:dyDescent="0.3">
      <c r="A543" s="56"/>
      <c r="B543" s="56"/>
      <c r="C543" s="4"/>
      <c r="D543" s="4"/>
      <c r="E543" s="8"/>
    </row>
    <row r="544" spans="1:5" ht="36.950000000000003" customHeight="1" thickBot="1" x14ac:dyDescent="0.3">
      <c r="A544" s="56"/>
      <c r="B544" s="56"/>
      <c r="C544" s="4"/>
      <c r="D544" s="4"/>
      <c r="E544" s="8"/>
    </row>
    <row r="545" spans="1:5" ht="36.950000000000003" customHeight="1" thickBot="1" x14ac:dyDescent="0.3">
      <c r="A545" s="56"/>
      <c r="B545" s="56"/>
      <c r="C545" s="4"/>
      <c r="D545" s="4"/>
      <c r="E545" s="8"/>
    </row>
    <row r="546" spans="1:5" ht="36.950000000000003" customHeight="1" thickBot="1" x14ac:dyDescent="0.3">
      <c r="A546" s="56"/>
      <c r="B546" s="56"/>
      <c r="C546" s="4"/>
      <c r="D546" s="4"/>
      <c r="E546" s="8"/>
    </row>
    <row r="547" spans="1:5" ht="36.950000000000003" customHeight="1" thickBot="1" x14ac:dyDescent="0.3">
      <c r="A547" s="56"/>
      <c r="B547" s="56"/>
      <c r="C547" s="4"/>
      <c r="D547" s="4"/>
      <c r="E547" s="8"/>
    </row>
    <row r="548" spans="1:5" ht="36.950000000000003" customHeight="1" thickBot="1" x14ac:dyDescent="0.3">
      <c r="A548" s="56"/>
      <c r="B548" s="56"/>
      <c r="C548" s="4"/>
      <c r="D548" s="4"/>
      <c r="E548" s="8"/>
    </row>
    <row r="549" spans="1:5" ht="36.950000000000003" customHeight="1" thickBot="1" x14ac:dyDescent="0.3">
      <c r="A549" s="56"/>
      <c r="B549" s="56"/>
      <c r="C549" s="4"/>
      <c r="D549" s="4"/>
      <c r="E549" s="8"/>
    </row>
    <row r="550" spans="1:5" ht="36.950000000000003" customHeight="1" thickBot="1" x14ac:dyDescent="0.3">
      <c r="A550" s="56"/>
      <c r="B550" s="56"/>
      <c r="C550" s="4"/>
      <c r="D550" s="4"/>
      <c r="E550" s="8"/>
    </row>
    <row r="551" spans="1:5" ht="36.950000000000003" customHeight="1" thickBot="1" x14ac:dyDescent="0.3">
      <c r="A551" s="56"/>
      <c r="B551" s="56"/>
      <c r="C551" s="4"/>
      <c r="D551" s="4"/>
      <c r="E551" s="8"/>
    </row>
    <row r="552" spans="1:5" ht="36.950000000000003" customHeight="1" thickBot="1" x14ac:dyDescent="0.3">
      <c r="A552" s="56"/>
      <c r="B552" s="56"/>
      <c r="C552" s="4"/>
      <c r="D552" s="4"/>
      <c r="E552" s="8"/>
    </row>
    <row r="553" spans="1:5" ht="36.950000000000003" customHeight="1" thickBot="1" x14ac:dyDescent="0.3">
      <c r="A553" s="56"/>
      <c r="B553" s="56"/>
      <c r="C553" s="4"/>
      <c r="D553" s="4"/>
      <c r="E553" s="8"/>
    </row>
    <row r="554" spans="1:5" ht="36.950000000000003" customHeight="1" thickBot="1" x14ac:dyDescent="0.3">
      <c r="A554" s="56"/>
      <c r="B554" s="56"/>
      <c r="C554" s="4"/>
      <c r="D554" s="4"/>
      <c r="E554" s="8"/>
    </row>
    <row r="555" spans="1:5" ht="36.950000000000003" customHeight="1" thickBot="1" x14ac:dyDescent="0.3">
      <c r="A555" s="56"/>
      <c r="B555" s="56"/>
      <c r="C555" s="4"/>
      <c r="D555" s="4"/>
      <c r="E555" s="8"/>
    </row>
    <row r="556" spans="1:5" ht="36.950000000000003" customHeight="1" thickBot="1" x14ac:dyDescent="0.3">
      <c r="A556" s="56"/>
      <c r="B556" s="56"/>
      <c r="C556" s="4"/>
      <c r="D556" s="4"/>
      <c r="E556" s="8"/>
    </row>
    <row r="557" spans="1:5" ht="36.950000000000003" customHeight="1" thickBot="1" x14ac:dyDescent="0.3">
      <c r="A557" s="56"/>
      <c r="B557" s="56"/>
      <c r="C557" s="4"/>
      <c r="D557" s="4"/>
      <c r="E557" s="8"/>
    </row>
    <row r="558" spans="1:5" ht="36.950000000000003" customHeight="1" thickBot="1" x14ac:dyDescent="0.3">
      <c r="A558" s="56"/>
      <c r="B558" s="56"/>
      <c r="C558" s="4"/>
      <c r="D558" s="4"/>
      <c r="E558" s="8"/>
    </row>
    <row r="559" spans="1:5" ht="36.950000000000003" customHeight="1" thickBot="1" x14ac:dyDescent="0.3">
      <c r="A559" s="56"/>
      <c r="B559" s="56"/>
      <c r="C559" s="4"/>
      <c r="D559" s="4"/>
      <c r="E559" s="8"/>
    </row>
    <row r="560" spans="1:5" ht="36.950000000000003" customHeight="1" thickBot="1" x14ac:dyDescent="0.3">
      <c r="A560" s="56"/>
      <c r="B560" s="56"/>
      <c r="C560" s="4"/>
      <c r="D560" s="4"/>
      <c r="E560" s="8"/>
    </row>
    <row r="561" spans="1:5" ht="36.950000000000003" customHeight="1" thickBot="1" x14ac:dyDescent="0.3">
      <c r="A561" s="56"/>
      <c r="B561" s="56"/>
      <c r="C561" s="4"/>
      <c r="D561" s="4"/>
      <c r="E561" s="8"/>
    </row>
    <row r="562" spans="1:5" ht="36.950000000000003" customHeight="1" thickBot="1" x14ac:dyDescent="0.3">
      <c r="A562" s="56"/>
      <c r="B562" s="56"/>
      <c r="C562" s="4"/>
      <c r="D562" s="4"/>
      <c r="E562" s="8"/>
    </row>
    <row r="563" spans="1:5" ht="36.950000000000003" customHeight="1" thickBot="1" x14ac:dyDescent="0.3">
      <c r="A563" s="56"/>
      <c r="B563" s="56"/>
      <c r="C563" s="4"/>
      <c r="D563" s="4"/>
      <c r="E563" s="8"/>
    </row>
    <row r="564" spans="1:5" ht="36.950000000000003" customHeight="1" thickBot="1" x14ac:dyDescent="0.3">
      <c r="A564" s="56"/>
      <c r="B564" s="56"/>
      <c r="C564" s="4"/>
      <c r="D564" s="4"/>
      <c r="E564" s="8"/>
    </row>
    <row r="565" spans="1:5" ht="36.950000000000003" customHeight="1" thickBot="1" x14ac:dyDescent="0.3">
      <c r="A565" s="56"/>
      <c r="B565" s="56"/>
      <c r="C565" s="4"/>
      <c r="D565" s="4"/>
      <c r="E565" s="8"/>
    </row>
    <row r="566" spans="1:5" ht="36.950000000000003" customHeight="1" thickBot="1" x14ac:dyDescent="0.3">
      <c r="A566" s="56"/>
      <c r="B566" s="56"/>
      <c r="C566" s="4"/>
      <c r="D566" s="4"/>
      <c r="E566" s="8"/>
    </row>
    <row r="567" spans="1:5" ht="36.950000000000003" customHeight="1" thickBot="1" x14ac:dyDescent="0.3">
      <c r="A567" s="56"/>
      <c r="B567" s="56"/>
      <c r="C567" s="4"/>
      <c r="D567" s="4"/>
      <c r="E567" s="8"/>
    </row>
    <row r="568" spans="1:5" ht="36.950000000000003" customHeight="1" thickBot="1" x14ac:dyDescent="0.3">
      <c r="A568" s="56"/>
      <c r="B568" s="56"/>
      <c r="C568" s="4"/>
      <c r="D568" s="4"/>
      <c r="E568" s="8"/>
    </row>
    <row r="569" spans="1:5" ht="36.950000000000003" customHeight="1" thickBot="1" x14ac:dyDescent="0.3">
      <c r="A569" s="56"/>
      <c r="B569" s="56"/>
      <c r="C569" s="4"/>
      <c r="D569" s="4"/>
      <c r="E569" s="8"/>
    </row>
    <row r="570" spans="1:5" ht="36.950000000000003" customHeight="1" thickBot="1" x14ac:dyDescent="0.3">
      <c r="A570" s="56"/>
      <c r="B570" s="56"/>
      <c r="C570" s="4"/>
      <c r="D570" s="4"/>
      <c r="E570" s="8"/>
    </row>
    <row r="571" spans="1:5" ht="36.950000000000003" customHeight="1" thickBot="1" x14ac:dyDescent="0.3">
      <c r="A571" s="56"/>
      <c r="B571" s="56"/>
      <c r="C571" s="4"/>
      <c r="D571" s="4"/>
      <c r="E571" s="8"/>
    </row>
    <row r="572" spans="1:5" ht="36.950000000000003" customHeight="1" thickBot="1" x14ac:dyDescent="0.3">
      <c r="A572" s="56"/>
      <c r="B572" s="56"/>
      <c r="C572" s="4"/>
      <c r="D572" s="4"/>
      <c r="E572" s="8"/>
    </row>
    <row r="573" spans="1:5" ht="36.950000000000003" customHeight="1" thickBot="1" x14ac:dyDescent="0.3">
      <c r="A573" s="56"/>
      <c r="B573" s="56"/>
      <c r="C573" s="4"/>
      <c r="D573" s="4"/>
      <c r="E573" s="8"/>
    </row>
    <row r="574" spans="1:5" ht="36.950000000000003" customHeight="1" thickBot="1" x14ac:dyDescent="0.3">
      <c r="A574" s="56"/>
      <c r="B574" s="56"/>
      <c r="C574" s="4"/>
      <c r="D574" s="4"/>
      <c r="E574" s="8"/>
    </row>
    <row r="575" spans="1:5" ht="36.950000000000003" customHeight="1" thickBot="1" x14ac:dyDescent="0.3">
      <c r="A575" s="56"/>
      <c r="B575" s="56"/>
      <c r="C575" s="4"/>
      <c r="D575" s="4"/>
      <c r="E575" s="8"/>
    </row>
    <row r="576" spans="1:5" ht="36.950000000000003" customHeight="1" thickBot="1" x14ac:dyDescent="0.3">
      <c r="A576" s="56"/>
      <c r="B576" s="56"/>
      <c r="C576" s="4"/>
      <c r="D576" s="4"/>
      <c r="E576" s="8"/>
    </row>
    <row r="577" spans="1:5" ht="36.950000000000003" customHeight="1" thickBot="1" x14ac:dyDescent="0.3">
      <c r="A577" s="56"/>
      <c r="B577" s="56"/>
      <c r="C577" s="4"/>
      <c r="D577" s="4"/>
      <c r="E577" s="8"/>
    </row>
    <row r="578" spans="1:5" ht="36.950000000000003" customHeight="1" thickBot="1" x14ac:dyDescent="0.3">
      <c r="A578" s="56"/>
      <c r="B578" s="56"/>
      <c r="C578" s="4"/>
      <c r="D578" s="4"/>
      <c r="E578" s="8"/>
    </row>
    <row r="579" spans="1:5" ht="36.950000000000003" customHeight="1" thickBot="1" x14ac:dyDescent="0.3">
      <c r="A579" s="56"/>
      <c r="B579" s="56"/>
      <c r="C579" s="4"/>
      <c r="D579" s="4"/>
      <c r="E579" s="8"/>
    </row>
    <row r="580" spans="1:5" ht="36.950000000000003" customHeight="1" thickBot="1" x14ac:dyDescent="0.3">
      <c r="A580" s="56"/>
      <c r="B580" s="56"/>
      <c r="C580" s="4"/>
      <c r="D580" s="4"/>
      <c r="E580" s="8"/>
    </row>
    <row r="581" spans="1:5" ht="36.950000000000003" customHeight="1" thickBot="1" x14ac:dyDescent="0.3">
      <c r="A581" s="56"/>
      <c r="B581" s="56"/>
      <c r="C581" s="4"/>
      <c r="D581" s="4"/>
      <c r="E581" s="8"/>
    </row>
    <row r="582" spans="1:5" ht="36.950000000000003" customHeight="1" thickBot="1" x14ac:dyDescent="0.3">
      <c r="A582" s="56"/>
      <c r="B582" s="56"/>
      <c r="C582" s="4"/>
      <c r="D582" s="4"/>
      <c r="E582" s="8"/>
    </row>
    <row r="583" spans="1:5" ht="36.950000000000003" customHeight="1" thickBot="1" x14ac:dyDescent="0.3">
      <c r="A583" s="56"/>
      <c r="B583" s="56"/>
      <c r="C583" s="4"/>
      <c r="D583" s="4"/>
      <c r="E583" s="8"/>
    </row>
    <row r="584" spans="1:5" ht="36.950000000000003" customHeight="1" thickBot="1" x14ac:dyDescent="0.3">
      <c r="A584" s="56"/>
      <c r="B584" s="56"/>
      <c r="C584" s="4"/>
      <c r="D584" s="4"/>
      <c r="E584" s="8"/>
    </row>
    <row r="585" spans="1:5" ht="36.950000000000003" customHeight="1" thickBot="1" x14ac:dyDescent="0.3">
      <c r="A585" s="56"/>
      <c r="B585" s="56"/>
      <c r="C585" s="4"/>
      <c r="D585" s="4"/>
      <c r="E585" s="8"/>
    </row>
    <row r="586" spans="1:5" ht="36.950000000000003" customHeight="1" thickBot="1" x14ac:dyDescent="0.3">
      <c r="A586" s="56"/>
      <c r="B586" s="56"/>
      <c r="C586" s="4"/>
      <c r="D586" s="4"/>
      <c r="E586" s="8"/>
    </row>
    <row r="587" spans="1:5" ht="36.950000000000003" customHeight="1" thickBot="1" x14ac:dyDescent="0.3">
      <c r="A587" s="56"/>
      <c r="B587" s="56"/>
      <c r="C587" s="4"/>
      <c r="D587" s="4"/>
      <c r="E587" s="8"/>
    </row>
    <row r="588" spans="1:5" ht="36.950000000000003" customHeight="1" thickBot="1" x14ac:dyDescent="0.3">
      <c r="A588" s="56"/>
      <c r="B588" s="56"/>
      <c r="C588" s="4"/>
      <c r="D588" s="4"/>
      <c r="E588" s="8"/>
    </row>
    <row r="589" spans="1:5" ht="36.950000000000003" customHeight="1" thickBot="1" x14ac:dyDescent="0.3">
      <c r="A589" s="56"/>
      <c r="B589" s="56"/>
      <c r="C589" s="4"/>
      <c r="D589" s="4"/>
      <c r="E589" s="8"/>
    </row>
    <row r="590" spans="1:5" ht="36.950000000000003" customHeight="1" thickBot="1" x14ac:dyDescent="0.3">
      <c r="A590" s="56"/>
      <c r="B590" s="56"/>
      <c r="C590" s="4"/>
      <c r="D590" s="4"/>
      <c r="E590" s="8"/>
    </row>
    <row r="591" spans="1:5" ht="36.950000000000003" customHeight="1" thickBot="1" x14ac:dyDescent="0.3">
      <c r="A591" s="56"/>
      <c r="B591" s="56"/>
      <c r="C591" s="4"/>
      <c r="D591" s="4"/>
      <c r="E591" s="8"/>
    </row>
    <row r="592" spans="1:5" ht="36.950000000000003" customHeight="1" thickBot="1" x14ac:dyDescent="0.3">
      <c r="A592" s="56"/>
      <c r="B592" s="56"/>
      <c r="C592" s="4"/>
      <c r="D592" s="4"/>
      <c r="E592" s="8"/>
    </row>
    <row r="593" spans="1:5" ht="36.950000000000003" customHeight="1" thickBot="1" x14ac:dyDescent="0.3">
      <c r="A593" s="56"/>
      <c r="B593" s="56"/>
      <c r="C593" s="4"/>
      <c r="D593" s="4"/>
      <c r="E593" s="8"/>
    </row>
    <row r="594" spans="1:5" ht="36.950000000000003" customHeight="1" thickBot="1" x14ac:dyDescent="0.3">
      <c r="A594" s="56"/>
      <c r="B594" s="56"/>
      <c r="C594" s="4"/>
      <c r="D594" s="4"/>
      <c r="E594" s="8"/>
    </row>
    <row r="595" spans="1:5" ht="36.950000000000003" customHeight="1" thickBot="1" x14ac:dyDescent="0.3">
      <c r="A595" s="56"/>
      <c r="B595" s="56"/>
      <c r="C595" s="4"/>
      <c r="D595" s="4"/>
      <c r="E595" s="8"/>
    </row>
    <row r="596" spans="1:5" ht="36.950000000000003" customHeight="1" thickBot="1" x14ac:dyDescent="0.3">
      <c r="A596" s="56"/>
      <c r="B596" s="56"/>
      <c r="C596" s="4"/>
      <c r="D596" s="4"/>
      <c r="E596" s="8"/>
    </row>
    <row r="597" spans="1:5" ht="36.950000000000003" customHeight="1" thickBot="1" x14ac:dyDescent="0.3">
      <c r="A597" s="56"/>
      <c r="B597" s="56"/>
      <c r="C597" s="4"/>
      <c r="D597" s="4"/>
      <c r="E597" s="8"/>
    </row>
    <row r="598" spans="1:5" ht="36.950000000000003" customHeight="1" thickBot="1" x14ac:dyDescent="0.3">
      <c r="A598" s="56"/>
      <c r="B598" s="56"/>
      <c r="C598" s="4"/>
      <c r="D598" s="4"/>
      <c r="E598" s="8"/>
    </row>
    <row r="599" spans="1:5" ht="36.950000000000003" customHeight="1" thickBot="1" x14ac:dyDescent="0.3">
      <c r="A599" s="56"/>
      <c r="B599" s="56"/>
      <c r="C599" s="4"/>
      <c r="D599" s="4"/>
      <c r="E599" s="8"/>
    </row>
    <row r="600" spans="1:5" ht="36.950000000000003" customHeight="1" thickBot="1" x14ac:dyDescent="0.3">
      <c r="A600" s="56"/>
      <c r="B600" s="56"/>
      <c r="C600" s="4"/>
      <c r="D600" s="4"/>
      <c r="E600" s="8"/>
    </row>
    <row r="601" spans="1:5" ht="36.950000000000003" customHeight="1" thickBot="1" x14ac:dyDescent="0.3">
      <c r="A601" s="56"/>
      <c r="B601" s="56"/>
      <c r="C601" s="4"/>
      <c r="D601" s="4"/>
      <c r="E601" s="8"/>
    </row>
    <row r="602" spans="1:5" ht="36.950000000000003" customHeight="1" thickBot="1" x14ac:dyDescent="0.3">
      <c r="A602" s="56"/>
      <c r="B602" s="56"/>
      <c r="C602" s="4"/>
      <c r="D602" s="4"/>
      <c r="E602" s="8"/>
    </row>
    <row r="603" spans="1:5" ht="36.950000000000003" customHeight="1" thickBot="1" x14ac:dyDescent="0.3">
      <c r="A603" s="56"/>
      <c r="B603" s="56"/>
      <c r="C603" s="4"/>
      <c r="D603" s="4"/>
      <c r="E603" s="8"/>
    </row>
    <row r="604" spans="1:5" ht="36.950000000000003" customHeight="1" thickBot="1" x14ac:dyDescent="0.3">
      <c r="A604" s="56"/>
      <c r="B604" s="56"/>
      <c r="C604" s="4"/>
      <c r="D604" s="4"/>
      <c r="E604" s="8"/>
    </row>
    <row r="605" spans="1:5" ht="36.950000000000003" customHeight="1" thickBot="1" x14ac:dyDescent="0.3">
      <c r="A605" s="56"/>
      <c r="B605" s="56"/>
      <c r="C605" s="4"/>
      <c r="D605" s="4"/>
      <c r="E605" s="8"/>
    </row>
    <row r="606" spans="1:5" ht="36.950000000000003" customHeight="1" thickBot="1" x14ac:dyDescent="0.3">
      <c r="A606" s="56"/>
      <c r="B606" s="56"/>
      <c r="C606" s="4"/>
      <c r="D606" s="4"/>
      <c r="E606" s="8"/>
    </row>
    <row r="607" spans="1:5" ht="36.950000000000003" customHeight="1" thickBot="1" x14ac:dyDescent="0.3">
      <c r="A607" s="56"/>
      <c r="B607" s="56"/>
      <c r="C607" s="4"/>
      <c r="D607" s="4"/>
      <c r="E607" s="8"/>
    </row>
    <row r="608" spans="1:5" ht="36.950000000000003" customHeight="1" thickBot="1" x14ac:dyDescent="0.3">
      <c r="A608" s="56"/>
      <c r="B608" s="56"/>
      <c r="C608" s="4"/>
      <c r="D608" s="4"/>
      <c r="E608" s="8"/>
    </row>
    <row r="609" spans="1:5" ht="36.950000000000003" customHeight="1" thickBot="1" x14ac:dyDescent="0.3">
      <c r="A609" s="56"/>
      <c r="B609" s="56"/>
      <c r="C609" s="4"/>
      <c r="D609" s="4"/>
      <c r="E609" s="8"/>
    </row>
    <row r="610" spans="1:5" ht="36.950000000000003" customHeight="1" thickBot="1" x14ac:dyDescent="0.3">
      <c r="A610" s="56"/>
      <c r="B610" s="56"/>
      <c r="C610" s="4"/>
      <c r="D610" s="4"/>
      <c r="E610" s="8"/>
    </row>
    <row r="611" spans="1:5" ht="36.950000000000003" customHeight="1" thickBot="1" x14ac:dyDescent="0.3">
      <c r="A611" s="56"/>
      <c r="B611" s="56"/>
      <c r="C611" s="4"/>
      <c r="D611" s="4"/>
      <c r="E611" s="8"/>
    </row>
    <row r="612" spans="1:5" ht="36.950000000000003" customHeight="1" thickBot="1" x14ac:dyDescent="0.3">
      <c r="A612" s="56"/>
      <c r="B612" s="56"/>
      <c r="C612" s="4"/>
      <c r="D612" s="4"/>
      <c r="E612" s="8"/>
    </row>
    <row r="613" spans="1:5" ht="36.950000000000003" customHeight="1" thickBot="1" x14ac:dyDescent="0.3">
      <c r="A613" s="56"/>
      <c r="B613" s="56"/>
      <c r="C613" s="4"/>
      <c r="D613" s="4"/>
      <c r="E613" s="8"/>
    </row>
    <row r="614" spans="1:5" ht="36.950000000000003" customHeight="1" thickBot="1" x14ac:dyDescent="0.3">
      <c r="A614" s="56"/>
      <c r="B614" s="56"/>
      <c r="C614" s="4"/>
      <c r="D614" s="4"/>
      <c r="E614" s="8"/>
    </row>
    <row r="615" spans="1:5" ht="36.950000000000003" customHeight="1" thickBot="1" x14ac:dyDescent="0.3">
      <c r="A615" s="56"/>
      <c r="B615" s="56"/>
      <c r="C615" s="4"/>
      <c r="D615" s="4"/>
      <c r="E615" s="8"/>
    </row>
    <row r="616" spans="1:5" ht="36.950000000000003" customHeight="1" thickBot="1" x14ac:dyDescent="0.3">
      <c r="A616" s="56"/>
      <c r="B616" s="56"/>
      <c r="C616" s="4"/>
      <c r="D616" s="4"/>
      <c r="E616" s="8"/>
    </row>
    <row r="617" spans="1:5" ht="36.950000000000003" customHeight="1" thickBot="1" x14ac:dyDescent="0.3">
      <c r="A617" s="56"/>
      <c r="B617" s="56"/>
      <c r="C617" s="4"/>
      <c r="D617" s="4"/>
      <c r="E617" s="8"/>
    </row>
    <row r="618" spans="1:5" ht="36.950000000000003" customHeight="1" thickBot="1" x14ac:dyDescent="0.3">
      <c r="A618" s="56"/>
      <c r="B618" s="56"/>
      <c r="C618" s="4"/>
      <c r="D618" s="4"/>
      <c r="E618" s="8"/>
    </row>
    <row r="619" spans="1:5" ht="36.950000000000003" customHeight="1" thickBot="1" x14ac:dyDescent="0.3">
      <c r="A619" s="56"/>
      <c r="B619" s="56"/>
      <c r="C619" s="4"/>
      <c r="D619" s="4"/>
      <c r="E619" s="8"/>
    </row>
    <row r="620" spans="1:5" ht="36.950000000000003" customHeight="1" thickBot="1" x14ac:dyDescent="0.3">
      <c r="A620" s="56"/>
      <c r="B620" s="56"/>
      <c r="C620" s="4"/>
      <c r="D620" s="4"/>
      <c r="E620" s="8"/>
    </row>
    <row r="621" spans="1:5" ht="36.950000000000003" customHeight="1" thickBot="1" x14ac:dyDescent="0.3">
      <c r="A621" s="56"/>
      <c r="B621" s="56"/>
      <c r="C621" s="4"/>
      <c r="D621" s="4"/>
      <c r="E621" s="8"/>
    </row>
    <row r="622" spans="1:5" ht="36.950000000000003" customHeight="1" thickBot="1" x14ac:dyDescent="0.3">
      <c r="A622" s="56"/>
      <c r="B622" s="56"/>
      <c r="C622" s="4"/>
      <c r="D622" s="4"/>
      <c r="E622" s="8"/>
    </row>
    <row r="623" spans="1:5" ht="36.950000000000003" customHeight="1" thickBot="1" x14ac:dyDescent="0.3">
      <c r="A623" s="56"/>
      <c r="B623" s="56"/>
      <c r="C623" s="4"/>
      <c r="D623" s="4"/>
      <c r="E623" s="8"/>
    </row>
    <row r="624" spans="1:5" ht="36.950000000000003" customHeight="1" thickBot="1" x14ac:dyDescent="0.3">
      <c r="A624" s="56"/>
      <c r="B624" s="56"/>
      <c r="C624" s="4"/>
      <c r="D624" s="4"/>
      <c r="E624" s="8"/>
    </row>
    <row r="625" spans="1:5" ht="36.950000000000003" customHeight="1" thickBot="1" x14ac:dyDescent="0.3">
      <c r="A625" s="56"/>
      <c r="B625" s="56"/>
      <c r="C625" s="4"/>
      <c r="D625" s="4"/>
      <c r="E625" s="8"/>
    </row>
    <row r="626" spans="1:5" ht="36.950000000000003" customHeight="1" thickBot="1" x14ac:dyDescent="0.3">
      <c r="A626" s="56"/>
      <c r="B626" s="56"/>
      <c r="C626" s="4"/>
      <c r="D626" s="4"/>
      <c r="E626" s="8"/>
    </row>
    <row r="627" spans="1:5" ht="36.950000000000003" customHeight="1" thickBot="1" x14ac:dyDescent="0.3">
      <c r="A627" s="56"/>
      <c r="B627" s="56"/>
      <c r="C627" s="4"/>
      <c r="D627" s="4"/>
      <c r="E627" s="8"/>
    </row>
    <row r="628" spans="1:5" ht="36.950000000000003" customHeight="1" thickBot="1" x14ac:dyDescent="0.3">
      <c r="A628" s="56"/>
      <c r="B628" s="56"/>
      <c r="C628" s="4"/>
      <c r="D628" s="4"/>
      <c r="E628" s="8"/>
    </row>
    <row r="629" spans="1:5" ht="36.950000000000003" customHeight="1" thickBot="1" x14ac:dyDescent="0.3">
      <c r="A629" s="56"/>
      <c r="B629" s="56"/>
      <c r="C629" s="4"/>
      <c r="D629" s="4"/>
      <c r="E629" s="8"/>
    </row>
    <row r="630" spans="1:5" ht="36.950000000000003" customHeight="1" thickBot="1" x14ac:dyDescent="0.3">
      <c r="A630" s="56"/>
      <c r="B630" s="56"/>
      <c r="C630" s="4"/>
      <c r="D630" s="4"/>
      <c r="E630" s="8"/>
    </row>
    <row r="631" spans="1:5" ht="36.950000000000003" customHeight="1" thickBot="1" x14ac:dyDescent="0.3">
      <c r="A631" s="56"/>
      <c r="B631" s="56"/>
      <c r="C631" s="4"/>
      <c r="D631" s="4"/>
      <c r="E631" s="8"/>
    </row>
    <row r="632" spans="1:5" ht="36.950000000000003" customHeight="1" thickBot="1" x14ac:dyDescent="0.3">
      <c r="A632" s="56"/>
      <c r="B632" s="56"/>
      <c r="C632" s="4"/>
      <c r="D632" s="4"/>
      <c r="E632" s="8"/>
    </row>
    <row r="633" spans="1:5" ht="36.950000000000003" customHeight="1" thickBot="1" x14ac:dyDescent="0.3">
      <c r="A633" s="56"/>
      <c r="B633" s="56"/>
      <c r="C633" s="4"/>
      <c r="D633" s="4"/>
      <c r="E633" s="8"/>
    </row>
    <row r="634" spans="1:5" ht="36.950000000000003" customHeight="1" thickBot="1" x14ac:dyDescent="0.3">
      <c r="A634" s="56"/>
      <c r="B634" s="56"/>
      <c r="C634" s="4"/>
      <c r="D634" s="4"/>
      <c r="E634" s="8"/>
    </row>
    <row r="635" spans="1:5" ht="36.950000000000003" customHeight="1" thickBot="1" x14ac:dyDescent="0.3">
      <c r="A635" s="56"/>
      <c r="B635" s="56"/>
      <c r="C635" s="4"/>
      <c r="D635" s="4"/>
      <c r="E635" s="8"/>
    </row>
    <row r="636" spans="1:5" ht="36.950000000000003" customHeight="1" thickBot="1" x14ac:dyDescent="0.3">
      <c r="A636" s="56"/>
      <c r="B636" s="56"/>
      <c r="C636" s="4"/>
      <c r="D636" s="4"/>
      <c r="E636" s="8"/>
    </row>
    <row r="637" spans="1:5" ht="36.950000000000003" customHeight="1" thickBot="1" x14ac:dyDescent="0.3">
      <c r="A637" s="56"/>
      <c r="B637" s="56"/>
      <c r="C637" s="4"/>
      <c r="D637" s="4"/>
      <c r="E637" s="8"/>
    </row>
    <row r="638" spans="1:5" ht="36.950000000000003" customHeight="1" thickBot="1" x14ac:dyDescent="0.3">
      <c r="A638" s="56"/>
      <c r="B638" s="56"/>
      <c r="C638" s="4"/>
      <c r="D638" s="4"/>
      <c r="E638" s="8"/>
    </row>
    <row r="639" spans="1:5" ht="36.950000000000003" customHeight="1" thickBot="1" x14ac:dyDescent="0.3">
      <c r="A639" s="56"/>
      <c r="B639" s="56"/>
      <c r="C639" s="4"/>
      <c r="D639" s="4"/>
      <c r="E639" s="8"/>
    </row>
    <row r="640" spans="1:5" ht="36.950000000000003" customHeight="1" thickBot="1" x14ac:dyDescent="0.3">
      <c r="A640" s="56"/>
      <c r="B640" s="56"/>
      <c r="C640" s="4"/>
      <c r="D640" s="4"/>
      <c r="E640" s="8"/>
    </row>
    <row r="641" spans="1:5" ht="36.950000000000003" customHeight="1" thickBot="1" x14ac:dyDescent="0.3">
      <c r="A641" s="56"/>
      <c r="B641" s="56"/>
      <c r="C641" s="4"/>
      <c r="D641" s="4"/>
      <c r="E641" s="8"/>
    </row>
    <row r="642" spans="1:5" ht="36.950000000000003" customHeight="1" thickBot="1" x14ac:dyDescent="0.3">
      <c r="A642" s="56"/>
      <c r="B642" s="56"/>
      <c r="C642" s="4"/>
      <c r="D642" s="4"/>
      <c r="E642" s="8"/>
    </row>
    <row r="643" spans="1:5" ht="36.950000000000003" customHeight="1" thickBot="1" x14ac:dyDescent="0.3">
      <c r="A643" s="56"/>
      <c r="B643" s="56"/>
      <c r="C643" s="4"/>
      <c r="D643" s="4"/>
      <c r="E643" s="8"/>
    </row>
    <row r="644" spans="1:5" ht="36.950000000000003" customHeight="1" thickBot="1" x14ac:dyDescent="0.3">
      <c r="A644" s="56"/>
      <c r="B644" s="56"/>
      <c r="C644" s="4"/>
      <c r="D644" s="4"/>
      <c r="E644" s="8"/>
    </row>
    <row r="645" spans="1:5" ht="36.950000000000003" customHeight="1" thickBot="1" x14ac:dyDescent="0.3">
      <c r="A645" s="56"/>
      <c r="B645" s="56"/>
      <c r="C645" s="4"/>
      <c r="D645" s="4"/>
      <c r="E645" s="8"/>
    </row>
    <row r="646" spans="1:5" ht="36.950000000000003" customHeight="1" thickBot="1" x14ac:dyDescent="0.3">
      <c r="A646" s="56"/>
      <c r="B646" s="56"/>
      <c r="C646" s="4"/>
      <c r="D646" s="4"/>
      <c r="E646" s="8"/>
    </row>
    <row r="647" spans="1:5" ht="36.950000000000003" customHeight="1" thickBot="1" x14ac:dyDescent="0.3">
      <c r="A647" s="56"/>
      <c r="B647" s="56"/>
      <c r="C647" s="4"/>
      <c r="D647" s="4"/>
      <c r="E647" s="8"/>
    </row>
    <row r="648" spans="1:5" ht="36.950000000000003" customHeight="1" thickBot="1" x14ac:dyDescent="0.3">
      <c r="A648" s="56"/>
      <c r="B648" s="56"/>
      <c r="C648" s="4"/>
      <c r="D648" s="4"/>
      <c r="E648" s="8"/>
    </row>
    <row r="649" spans="1:5" ht="36.950000000000003" customHeight="1" thickBot="1" x14ac:dyDescent="0.3">
      <c r="A649" s="56"/>
      <c r="B649" s="56"/>
      <c r="C649" s="4"/>
      <c r="D649" s="4"/>
      <c r="E649" s="8"/>
    </row>
    <row r="650" spans="1:5" ht="36.950000000000003" customHeight="1" thickBot="1" x14ac:dyDescent="0.3">
      <c r="A650" s="56"/>
      <c r="B650" s="56"/>
      <c r="C650" s="4"/>
      <c r="D650" s="4"/>
      <c r="E650" s="8"/>
    </row>
    <row r="651" spans="1:5" ht="36.950000000000003" customHeight="1" thickBot="1" x14ac:dyDescent="0.3">
      <c r="A651" s="56"/>
      <c r="B651" s="56"/>
      <c r="C651" s="4"/>
      <c r="D651" s="4"/>
      <c r="E651" s="8"/>
    </row>
    <row r="652" spans="1:5" ht="36.950000000000003" customHeight="1" thickBot="1" x14ac:dyDescent="0.3">
      <c r="A652" s="56"/>
      <c r="B652" s="56"/>
      <c r="C652" s="4"/>
      <c r="D652" s="4"/>
      <c r="E652" s="8"/>
    </row>
    <row r="653" spans="1:5" ht="36.950000000000003" customHeight="1" thickBot="1" x14ac:dyDescent="0.3">
      <c r="A653" s="56"/>
      <c r="B653" s="56"/>
      <c r="C653" s="4"/>
      <c r="D653" s="4"/>
      <c r="E653" s="8"/>
    </row>
    <row r="654" spans="1:5" ht="36.950000000000003" customHeight="1" thickBot="1" x14ac:dyDescent="0.3">
      <c r="A654" s="56"/>
      <c r="B654" s="56"/>
      <c r="C654" s="4"/>
      <c r="D654" s="4"/>
      <c r="E654" s="8"/>
    </row>
    <row r="655" spans="1:5" ht="36.950000000000003" customHeight="1" thickBot="1" x14ac:dyDescent="0.3">
      <c r="A655" s="56"/>
      <c r="B655" s="56"/>
      <c r="C655" s="4"/>
      <c r="D655" s="4"/>
      <c r="E655" s="8"/>
    </row>
    <row r="656" spans="1:5" ht="36.950000000000003" customHeight="1" thickBot="1" x14ac:dyDescent="0.3">
      <c r="A656" s="56"/>
      <c r="B656" s="56"/>
      <c r="C656" s="4"/>
      <c r="D656" s="4"/>
      <c r="E656" s="8"/>
    </row>
    <row r="657" spans="1:5" ht="36.950000000000003" customHeight="1" thickBot="1" x14ac:dyDescent="0.3">
      <c r="A657" s="56"/>
      <c r="B657" s="56"/>
      <c r="C657" s="4"/>
      <c r="D657" s="4"/>
      <c r="E657" s="8"/>
    </row>
    <row r="658" spans="1:5" ht="36.950000000000003" customHeight="1" thickBot="1" x14ac:dyDescent="0.3">
      <c r="A658" s="56"/>
      <c r="B658" s="56"/>
      <c r="C658" s="4"/>
      <c r="D658" s="4"/>
      <c r="E658" s="8"/>
    </row>
    <row r="659" spans="1:5" ht="36.950000000000003" customHeight="1" thickBot="1" x14ac:dyDescent="0.3">
      <c r="A659" s="56"/>
      <c r="B659" s="56"/>
      <c r="C659" s="4"/>
      <c r="D659" s="4"/>
      <c r="E659" s="8"/>
    </row>
    <row r="660" spans="1:5" ht="36.950000000000003" customHeight="1" thickBot="1" x14ac:dyDescent="0.3">
      <c r="A660" s="56"/>
      <c r="B660" s="56"/>
      <c r="C660" s="4"/>
      <c r="D660" s="4"/>
      <c r="E660" s="8"/>
    </row>
    <row r="661" spans="1:5" ht="36.950000000000003" customHeight="1" thickBot="1" x14ac:dyDescent="0.3">
      <c r="A661" s="56"/>
      <c r="B661" s="56"/>
      <c r="C661" s="4"/>
      <c r="D661" s="4"/>
      <c r="E661" s="8"/>
    </row>
    <row r="662" spans="1:5" ht="36.950000000000003" customHeight="1" thickBot="1" x14ac:dyDescent="0.3">
      <c r="A662" s="56"/>
      <c r="B662" s="56"/>
      <c r="C662" s="4"/>
      <c r="D662" s="4"/>
      <c r="E662" s="8"/>
    </row>
    <row r="663" spans="1:5" ht="36.950000000000003" customHeight="1" thickBot="1" x14ac:dyDescent="0.3">
      <c r="A663" s="56"/>
      <c r="B663" s="56"/>
      <c r="C663" s="4"/>
      <c r="D663" s="4"/>
      <c r="E663" s="8"/>
    </row>
    <row r="664" spans="1:5" ht="36.950000000000003" customHeight="1" thickBot="1" x14ac:dyDescent="0.3">
      <c r="A664" s="56"/>
      <c r="B664" s="56"/>
      <c r="C664" s="4"/>
      <c r="D664" s="4"/>
      <c r="E664" s="8"/>
    </row>
    <row r="665" spans="1:5" ht="36.950000000000003" customHeight="1" thickBot="1" x14ac:dyDescent="0.3">
      <c r="A665" s="56"/>
      <c r="B665" s="56"/>
      <c r="C665" s="4"/>
      <c r="D665" s="4"/>
      <c r="E665" s="8"/>
    </row>
    <row r="666" spans="1:5" ht="36.950000000000003" customHeight="1" thickBot="1" x14ac:dyDescent="0.3">
      <c r="A666" s="56"/>
      <c r="B666" s="56"/>
      <c r="C666" s="4"/>
      <c r="D666" s="4"/>
      <c r="E666" s="8"/>
    </row>
    <row r="667" spans="1:5" ht="36.950000000000003" customHeight="1" thickBot="1" x14ac:dyDescent="0.3">
      <c r="A667" s="56"/>
      <c r="B667" s="56"/>
      <c r="C667" s="4"/>
      <c r="D667" s="4"/>
      <c r="E667" s="8"/>
    </row>
    <row r="668" spans="1:5" ht="36.950000000000003" customHeight="1" thickBot="1" x14ac:dyDescent="0.3">
      <c r="A668" s="56"/>
      <c r="B668" s="56"/>
      <c r="C668" s="4"/>
      <c r="D668" s="4"/>
      <c r="E668" s="8"/>
    </row>
    <row r="669" spans="1:5" ht="36.950000000000003" customHeight="1" thickBot="1" x14ac:dyDescent="0.3">
      <c r="A669" s="56"/>
      <c r="B669" s="56"/>
      <c r="C669" s="4"/>
      <c r="D669" s="4"/>
      <c r="E669" s="8"/>
    </row>
    <row r="670" spans="1:5" ht="36.950000000000003" customHeight="1" thickBot="1" x14ac:dyDescent="0.3">
      <c r="A670" s="56"/>
      <c r="B670" s="56"/>
      <c r="C670" s="4"/>
      <c r="D670" s="4"/>
      <c r="E670" s="8"/>
    </row>
    <row r="671" spans="1:5" ht="36.950000000000003" customHeight="1" thickBot="1" x14ac:dyDescent="0.3">
      <c r="A671" s="56"/>
      <c r="B671" s="56"/>
      <c r="C671" s="4"/>
      <c r="D671" s="4"/>
      <c r="E671" s="8"/>
    </row>
    <row r="672" spans="1:5" ht="36.950000000000003" customHeight="1" thickBot="1" x14ac:dyDescent="0.3">
      <c r="A672" s="56"/>
      <c r="B672" s="56"/>
      <c r="C672" s="4"/>
      <c r="D672" s="4"/>
      <c r="E672" s="8"/>
    </row>
    <row r="673" spans="1:5" ht="36.950000000000003" customHeight="1" thickBot="1" x14ac:dyDescent="0.3">
      <c r="A673" s="56"/>
      <c r="B673" s="56"/>
      <c r="C673" s="4"/>
      <c r="D673" s="4"/>
      <c r="E673" s="8"/>
    </row>
    <row r="674" spans="1:5" ht="36.950000000000003" customHeight="1" thickBot="1" x14ac:dyDescent="0.3">
      <c r="A674" s="56"/>
      <c r="B674" s="56"/>
      <c r="C674" s="4"/>
      <c r="D674" s="4"/>
      <c r="E674" s="8"/>
    </row>
    <row r="675" spans="1:5" ht="36.950000000000003" customHeight="1" thickBot="1" x14ac:dyDescent="0.3">
      <c r="A675" s="56"/>
      <c r="B675" s="56"/>
      <c r="C675" s="4"/>
      <c r="D675" s="4"/>
      <c r="E675" s="8"/>
    </row>
    <row r="676" spans="1:5" ht="36.950000000000003" customHeight="1" thickBot="1" x14ac:dyDescent="0.3">
      <c r="A676" s="56"/>
      <c r="B676" s="56"/>
      <c r="C676" s="4"/>
      <c r="D676" s="4"/>
      <c r="E676" s="8"/>
    </row>
    <row r="677" spans="1:5" ht="36.950000000000003" customHeight="1" thickBot="1" x14ac:dyDescent="0.3">
      <c r="A677" s="56"/>
      <c r="B677" s="56"/>
      <c r="C677" s="4"/>
      <c r="D677" s="4"/>
      <c r="E677" s="8"/>
    </row>
    <row r="678" spans="1:5" ht="36.950000000000003" customHeight="1" thickBot="1" x14ac:dyDescent="0.3">
      <c r="A678" s="56"/>
      <c r="B678" s="56"/>
      <c r="C678" s="4"/>
      <c r="D678" s="4"/>
      <c r="E678" s="8"/>
    </row>
    <row r="679" spans="1:5" ht="36.950000000000003" customHeight="1" thickBot="1" x14ac:dyDescent="0.3">
      <c r="A679" s="56"/>
      <c r="B679" s="56"/>
      <c r="C679" s="4"/>
      <c r="D679" s="4"/>
      <c r="E679" s="8"/>
    </row>
    <row r="680" spans="1:5" ht="36.950000000000003" customHeight="1" thickBot="1" x14ac:dyDescent="0.3">
      <c r="A680" s="56"/>
      <c r="B680" s="56"/>
      <c r="C680" s="4"/>
      <c r="D680" s="4"/>
      <c r="E680" s="8"/>
    </row>
    <row r="681" spans="1:5" ht="36.950000000000003" customHeight="1" thickBot="1" x14ac:dyDescent="0.3">
      <c r="A681" s="56"/>
      <c r="B681" s="56"/>
      <c r="C681" s="4"/>
      <c r="D681" s="4"/>
      <c r="E681" s="8"/>
    </row>
    <row r="682" spans="1:5" ht="36.950000000000003" customHeight="1" thickBot="1" x14ac:dyDescent="0.3">
      <c r="A682" s="56"/>
      <c r="B682" s="56"/>
      <c r="C682" s="4"/>
      <c r="D682" s="4"/>
      <c r="E682" s="8"/>
    </row>
    <row r="683" spans="1:5" ht="36.950000000000003" customHeight="1" thickBot="1" x14ac:dyDescent="0.3">
      <c r="A683" s="56"/>
      <c r="B683" s="56"/>
      <c r="C683" s="4"/>
      <c r="D683" s="4"/>
      <c r="E683" s="8"/>
    </row>
    <row r="684" spans="1:5" ht="36.950000000000003" customHeight="1" thickBot="1" x14ac:dyDescent="0.3">
      <c r="A684" s="56"/>
      <c r="B684" s="56"/>
      <c r="C684" s="4"/>
      <c r="D684" s="4"/>
      <c r="E684" s="8"/>
    </row>
    <row r="685" spans="1:5" ht="36.950000000000003" customHeight="1" thickBot="1" x14ac:dyDescent="0.3">
      <c r="A685" s="56"/>
      <c r="B685" s="56"/>
      <c r="C685" s="4"/>
      <c r="D685" s="4"/>
      <c r="E685" s="8"/>
    </row>
    <row r="686" spans="1:5" ht="36.950000000000003" customHeight="1" thickBot="1" x14ac:dyDescent="0.3">
      <c r="A686" s="56"/>
      <c r="B686" s="56"/>
      <c r="C686" s="4"/>
      <c r="D686" s="4"/>
      <c r="E686" s="8"/>
    </row>
    <row r="687" spans="1:5" ht="36.950000000000003" customHeight="1" thickBot="1" x14ac:dyDescent="0.3">
      <c r="A687" s="56"/>
      <c r="B687" s="56"/>
      <c r="C687" s="4"/>
      <c r="D687" s="4"/>
      <c r="E687" s="8"/>
    </row>
    <row r="688" spans="1:5" ht="36.950000000000003" customHeight="1" thickBot="1" x14ac:dyDescent="0.3">
      <c r="A688" s="56"/>
      <c r="B688" s="56"/>
      <c r="C688" s="4"/>
      <c r="D688" s="4"/>
      <c r="E688" s="8"/>
    </row>
    <row r="689" spans="1:5" ht="36.950000000000003" customHeight="1" thickBot="1" x14ac:dyDescent="0.3">
      <c r="A689" s="56"/>
      <c r="B689" s="56"/>
      <c r="C689" s="4"/>
      <c r="D689" s="4"/>
      <c r="E689" s="8"/>
    </row>
    <row r="690" spans="1:5" ht="36.950000000000003" customHeight="1" thickBot="1" x14ac:dyDescent="0.3">
      <c r="A690" s="56"/>
      <c r="B690" s="56"/>
      <c r="C690" s="4"/>
      <c r="D690" s="4"/>
      <c r="E690" s="8"/>
    </row>
    <row r="691" spans="1:5" ht="36.950000000000003" customHeight="1" thickBot="1" x14ac:dyDescent="0.3">
      <c r="A691" s="56"/>
      <c r="B691" s="56"/>
      <c r="C691" s="4"/>
      <c r="D691" s="4"/>
      <c r="E691" s="8"/>
    </row>
    <row r="692" spans="1:5" ht="36.950000000000003" customHeight="1" thickBot="1" x14ac:dyDescent="0.3">
      <c r="A692" s="56"/>
      <c r="B692" s="56"/>
      <c r="C692" s="4"/>
      <c r="D692" s="4"/>
      <c r="E692" s="8"/>
    </row>
    <row r="693" spans="1:5" ht="36.950000000000003" customHeight="1" thickBot="1" x14ac:dyDescent="0.3">
      <c r="A693" s="56"/>
      <c r="B693" s="56"/>
      <c r="C693" s="4"/>
      <c r="D693" s="4"/>
      <c r="E693" s="8"/>
    </row>
    <row r="694" spans="1:5" ht="36.950000000000003" customHeight="1" thickBot="1" x14ac:dyDescent="0.3">
      <c r="A694" s="56"/>
      <c r="B694" s="56"/>
      <c r="C694" s="4"/>
      <c r="D694" s="4"/>
      <c r="E694" s="8"/>
    </row>
    <row r="695" spans="1:5" ht="36.950000000000003" customHeight="1" thickBot="1" x14ac:dyDescent="0.3">
      <c r="A695" s="56"/>
      <c r="B695" s="56"/>
      <c r="C695" s="4"/>
      <c r="D695" s="4"/>
      <c r="E695" s="8"/>
    </row>
    <row r="696" spans="1:5" ht="36.950000000000003" customHeight="1" thickBot="1" x14ac:dyDescent="0.3">
      <c r="A696" s="56"/>
      <c r="B696" s="56"/>
      <c r="C696" s="4"/>
      <c r="D696" s="4"/>
      <c r="E696" s="8"/>
    </row>
    <row r="697" spans="1:5" ht="36.950000000000003" customHeight="1" thickBot="1" x14ac:dyDescent="0.3">
      <c r="A697" s="56"/>
      <c r="B697" s="56"/>
      <c r="C697" s="4"/>
      <c r="D697" s="4"/>
      <c r="E697" s="8"/>
    </row>
    <row r="698" spans="1:5" ht="36.950000000000003" customHeight="1" thickBot="1" x14ac:dyDescent="0.3">
      <c r="A698" s="56"/>
      <c r="B698" s="56"/>
      <c r="C698" s="4"/>
      <c r="D698" s="4"/>
      <c r="E698" s="8"/>
    </row>
    <row r="699" spans="1:5" ht="36.950000000000003" customHeight="1" thickBot="1" x14ac:dyDescent="0.3">
      <c r="A699" s="56"/>
      <c r="B699" s="56"/>
      <c r="C699" s="4"/>
      <c r="D699" s="4"/>
      <c r="E699" s="8"/>
    </row>
    <row r="700" spans="1:5" ht="36.950000000000003" customHeight="1" thickBot="1" x14ac:dyDescent="0.3">
      <c r="A700" s="56"/>
      <c r="B700" s="56"/>
      <c r="C700" s="4"/>
      <c r="D700" s="4"/>
      <c r="E700" s="8"/>
    </row>
    <row r="701" spans="1:5" ht="36.950000000000003" customHeight="1" thickBot="1" x14ac:dyDescent="0.3">
      <c r="A701" s="56"/>
      <c r="B701" s="56"/>
      <c r="C701" s="4"/>
      <c r="D701" s="4"/>
      <c r="E701" s="8"/>
    </row>
    <row r="702" spans="1:5" ht="36.950000000000003" customHeight="1" thickBot="1" x14ac:dyDescent="0.3">
      <c r="A702" s="56"/>
      <c r="B702" s="56"/>
      <c r="C702" s="4"/>
      <c r="D702" s="4"/>
      <c r="E702" s="8"/>
    </row>
    <row r="703" spans="1:5" ht="36.950000000000003" customHeight="1" thickBot="1" x14ac:dyDescent="0.3">
      <c r="A703" s="56"/>
      <c r="B703" s="56"/>
      <c r="C703" s="4"/>
      <c r="D703" s="4"/>
      <c r="E703" s="8"/>
    </row>
    <row r="704" spans="1:5" ht="36.950000000000003" customHeight="1" thickBot="1" x14ac:dyDescent="0.3">
      <c r="A704" s="56"/>
      <c r="B704" s="56"/>
      <c r="C704" s="4"/>
      <c r="D704" s="4"/>
      <c r="E704" s="8"/>
    </row>
    <row r="705" spans="1:5" ht="36.950000000000003" customHeight="1" thickBot="1" x14ac:dyDescent="0.3">
      <c r="A705" s="56"/>
      <c r="B705" s="56"/>
      <c r="C705" s="4"/>
      <c r="D705" s="4"/>
      <c r="E705" s="8"/>
    </row>
    <row r="706" spans="1:5" ht="36.950000000000003" customHeight="1" thickBot="1" x14ac:dyDescent="0.3">
      <c r="A706" s="56"/>
      <c r="B706" s="56"/>
      <c r="C706" s="4"/>
      <c r="D706" s="4"/>
      <c r="E706" s="8"/>
    </row>
    <row r="707" spans="1:5" ht="36.950000000000003" customHeight="1" thickBot="1" x14ac:dyDescent="0.3">
      <c r="A707" s="56"/>
      <c r="B707" s="56"/>
      <c r="C707" s="4"/>
      <c r="D707" s="4"/>
      <c r="E707" s="8"/>
    </row>
    <row r="708" spans="1:5" ht="36.950000000000003" customHeight="1" thickBot="1" x14ac:dyDescent="0.3">
      <c r="A708" s="56"/>
      <c r="B708" s="56"/>
      <c r="C708" s="4"/>
      <c r="D708" s="4"/>
      <c r="E708" s="8"/>
    </row>
    <row r="709" spans="1:5" ht="36.950000000000003" customHeight="1" thickBot="1" x14ac:dyDescent="0.3">
      <c r="A709" s="56"/>
      <c r="B709" s="56"/>
      <c r="C709" s="4"/>
      <c r="D709" s="4"/>
      <c r="E709" s="8"/>
    </row>
    <row r="710" spans="1:5" ht="36.950000000000003" customHeight="1" thickBot="1" x14ac:dyDescent="0.3">
      <c r="A710" s="56"/>
      <c r="B710" s="56"/>
      <c r="C710" s="4"/>
      <c r="D710" s="4"/>
      <c r="E710" s="8"/>
    </row>
    <row r="711" spans="1:5" ht="36.950000000000003" customHeight="1" thickBot="1" x14ac:dyDescent="0.3">
      <c r="A711" s="56"/>
      <c r="B711" s="56"/>
      <c r="C711" s="4"/>
      <c r="D711" s="4"/>
      <c r="E711" s="8"/>
    </row>
    <row r="712" spans="1:5" ht="36.950000000000003" customHeight="1" thickBot="1" x14ac:dyDescent="0.3">
      <c r="A712" s="56"/>
      <c r="B712" s="56"/>
      <c r="C712" s="4"/>
      <c r="D712" s="4"/>
      <c r="E712" s="8"/>
    </row>
    <row r="713" spans="1:5" ht="36.950000000000003" customHeight="1" thickBot="1" x14ac:dyDescent="0.3">
      <c r="A713" s="56"/>
      <c r="B713" s="56"/>
      <c r="C713" s="4"/>
      <c r="D713" s="4"/>
      <c r="E713" s="8"/>
    </row>
    <row r="714" spans="1:5" ht="36.950000000000003" customHeight="1" thickBot="1" x14ac:dyDescent="0.3">
      <c r="A714" s="56"/>
      <c r="B714" s="56"/>
      <c r="C714" s="4"/>
      <c r="D714" s="4"/>
      <c r="E714" s="8"/>
    </row>
    <row r="715" spans="1:5" ht="36.950000000000003" customHeight="1" thickBot="1" x14ac:dyDescent="0.3">
      <c r="A715" s="56"/>
      <c r="B715" s="56"/>
      <c r="C715" s="4"/>
      <c r="D715" s="4"/>
      <c r="E715" s="8"/>
    </row>
    <row r="716" spans="1:5" ht="36.950000000000003" customHeight="1" thickBot="1" x14ac:dyDescent="0.3">
      <c r="A716" s="56"/>
      <c r="B716" s="56"/>
      <c r="C716" s="4"/>
      <c r="D716" s="4"/>
      <c r="E716" s="8"/>
    </row>
    <row r="717" spans="1:5" ht="36.950000000000003" customHeight="1" thickBot="1" x14ac:dyDescent="0.3">
      <c r="A717" s="56"/>
      <c r="B717" s="56"/>
      <c r="C717" s="4"/>
      <c r="D717" s="4"/>
      <c r="E717" s="8"/>
    </row>
    <row r="718" spans="1:5" ht="36.950000000000003" customHeight="1" thickBot="1" x14ac:dyDescent="0.3">
      <c r="A718" s="56"/>
      <c r="B718" s="56"/>
      <c r="C718" s="4"/>
      <c r="D718" s="4"/>
      <c r="E718" s="8"/>
    </row>
    <row r="719" spans="1:5" ht="36.950000000000003" customHeight="1" thickBot="1" x14ac:dyDescent="0.3">
      <c r="A719" s="56"/>
      <c r="B719" s="56"/>
      <c r="C719" s="4"/>
      <c r="D719" s="4"/>
      <c r="E719" s="8"/>
    </row>
    <row r="720" spans="1:5" ht="36.950000000000003" customHeight="1" thickBot="1" x14ac:dyDescent="0.3">
      <c r="A720" s="56"/>
      <c r="B720" s="56"/>
      <c r="C720" s="4"/>
      <c r="D720" s="4"/>
      <c r="E720" s="8"/>
    </row>
    <row r="721" spans="1:5" ht="36.950000000000003" customHeight="1" thickBot="1" x14ac:dyDescent="0.3">
      <c r="A721" s="56"/>
      <c r="B721" s="56"/>
      <c r="C721" s="4"/>
      <c r="D721" s="4"/>
      <c r="E721" s="8"/>
    </row>
    <row r="722" spans="1:5" ht="36.950000000000003" customHeight="1" thickBot="1" x14ac:dyDescent="0.3">
      <c r="A722" s="56"/>
      <c r="B722" s="56"/>
      <c r="C722" s="4"/>
      <c r="D722" s="4"/>
      <c r="E722" s="8"/>
    </row>
    <row r="723" spans="1:5" ht="36.950000000000003" customHeight="1" thickBot="1" x14ac:dyDescent="0.3">
      <c r="A723" s="56"/>
      <c r="B723" s="56"/>
      <c r="C723" s="4"/>
      <c r="D723" s="4"/>
      <c r="E723" s="8"/>
    </row>
    <row r="724" spans="1:5" ht="36.950000000000003" customHeight="1" thickBot="1" x14ac:dyDescent="0.3">
      <c r="A724" s="56"/>
      <c r="B724" s="56"/>
      <c r="C724" s="4"/>
      <c r="D724" s="4"/>
      <c r="E724" s="8"/>
    </row>
    <row r="725" spans="1:5" ht="36.950000000000003" customHeight="1" thickBot="1" x14ac:dyDescent="0.3">
      <c r="A725" s="56"/>
      <c r="B725" s="56"/>
      <c r="C725" s="4"/>
      <c r="D725" s="4"/>
      <c r="E725" s="8"/>
    </row>
    <row r="726" spans="1:5" ht="36.950000000000003" customHeight="1" thickBot="1" x14ac:dyDescent="0.3">
      <c r="A726" s="56"/>
      <c r="B726" s="56"/>
      <c r="C726" s="4"/>
      <c r="D726" s="4"/>
      <c r="E726" s="8"/>
    </row>
    <row r="727" spans="1:5" ht="36.950000000000003" customHeight="1" thickBot="1" x14ac:dyDescent="0.3">
      <c r="A727" s="56"/>
      <c r="B727" s="56"/>
      <c r="C727" s="4"/>
      <c r="D727" s="4"/>
      <c r="E727" s="8"/>
    </row>
    <row r="728" spans="1:5" ht="36.950000000000003" customHeight="1" thickBot="1" x14ac:dyDescent="0.3">
      <c r="A728" s="56"/>
      <c r="B728" s="56"/>
      <c r="C728" s="4"/>
      <c r="D728" s="4"/>
      <c r="E728" s="8"/>
    </row>
    <row r="729" spans="1:5" ht="36.950000000000003" customHeight="1" thickBot="1" x14ac:dyDescent="0.3">
      <c r="A729" s="56"/>
      <c r="B729" s="56"/>
      <c r="C729" s="4"/>
      <c r="D729" s="4"/>
      <c r="E729" s="8"/>
    </row>
    <row r="730" spans="1:5" ht="36.950000000000003" customHeight="1" thickBot="1" x14ac:dyDescent="0.3">
      <c r="A730" s="56"/>
      <c r="B730" s="56"/>
      <c r="C730" s="4"/>
      <c r="D730" s="4"/>
      <c r="E730" s="8"/>
    </row>
    <row r="731" spans="1:5" ht="36.950000000000003" customHeight="1" thickBot="1" x14ac:dyDescent="0.3">
      <c r="A731" s="56"/>
      <c r="B731" s="56"/>
      <c r="C731" s="4"/>
      <c r="D731" s="4"/>
      <c r="E731" s="8"/>
    </row>
    <row r="732" spans="1:5" ht="36.950000000000003" customHeight="1" thickBot="1" x14ac:dyDescent="0.3">
      <c r="A732" s="56"/>
      <c r="B732" s="56"/>
      <c r="C732" s="4"/>
      <c r="D732" s="4"/>
      <c r="E732" s="8"/>
    </row>
    <row r="733" spans="1:5" ht="36.950000000000003" customHeight="1" thickBot="1" x14ac:dyDescent="0.3">
      <c r="A733" s="56"/>
      <c r="B733" s="56"/>
      <c r="C733" s="4"/>
      <c r="D733" s="4"/>
      <c r="E733" s="8"/>
    </row>
    <row r="734" spans="1:5" ht="36.950000000000003" customHeight="1" thickBot="1" x14ac:dyDescent="0.3">
      <c r="A734" s="56"/>
      <c r="B734" s="56"/>
      <c r="C734" s="4"/>
      <c r="D734" s="4"/>
      <c r="E734" s="8"/>
    </row>
    <row r="735" spans="1:5" ht="36.950000000000003" customHeight="1" thickBot="1" x14ac:dyDescent="0.3">
      <c r="A735" s="56"/>
      <c r="B735" s="56"/>
      <c r="C735" s="4"/>
      <c r="D735" s="4"/>
      <c r="E735" s="8"/>
    </row>
    <row r="736" spans="1:5" ht="36.950000000000003" customHeight="1" thickBot="1" x14ac:dyDescent="0.3">
      <c r="A736" s="56"/>
      <c r="B736" s="56"/>
      <c r="C736" s="4"/>
      <c r="D736" s="4"/>
      <c r="E736" s="8"/>
    </row>
    <row r="737" spans="1:5" ht="36.950000000000003" customHeight="1" thickBot="1" x14ac:dyDescent="0.3">
      <c r="A737" s="56"/>
      <c r="B737" s="56"/>
      <c r="C737" s="4"/>
      <c r="D737" s="4"/>
      <c r="E737" s="8"/>
    </row>
    <row r="738" spans="1:5" ht="36.950000000000003" customHeight="1" thickBot="1" x14ac:dyDescent="0.3">
      <c r="A738" s="56"/>
      <c r="B738" s="56"/>
      <c r="C738" s="4"/>
      <c r="D738" s="4"/>
      <c r="E738" s="8"/>
    </row>
    <row r="739" spans="1:5" ht="36.950000000000003" customHeight="1" thickBot="1" x14ac:dyDescent="0.3">
      <c r="A739" s="56"/>
      <c r="B739" s="56"/>
      <c r="C739" s="4"/>
      <c r="D739" s="4"/>
      <c r="E739" s="8"/>
    </row>
    <row r="740" spans="1:5" ht="36.950000000000003" customHeight="1" thickBot="1" x14ac:dyDescent="0.3">
      <c r="A740" s="56"/>
      <c r="B740" s="56"/>
      <c r="C740" s="4"/>
      <c r="D740" s="4"/>
      <c r="E740" s="8"/>
    </row>
    <row r="741" spans="1:5" ht="36.950000000000003" customHeight="1" thickBot="1" x14ac:dyDescent="0.3">
      <c r="A741" s="56"/>
      <c r="B741" s="56"/>
      <c r="C741" s="4"/>
      <c r="D741" s="4"/>
      <c r="E741" s="8"/>
    </row>
    <row r="742" spans="1:5" ht="36.950000000000003" customHeight="1" thickBot="1" x14ac:dyDescent="0.3">
      <c r="A742" s="56"/>
      <c r="B742" s="56"/>
      <c r="C742" s="4"/>
      <c r="D742" s="4"/>
      <c r="E742" s="8"/>
    </row>
    <row r="743" spans="1:5" ht="36.950000000000003" customHeight="1" thickBot="1" x14ac:dyDescent="0.3">
      <c r="A743" s="56"/>
      <c r="B743" s="56"/>
      <c r="C743" s="4"/>
      <c r="D743" s="4"/>
      <c r="E743" s="8"/>
    </row>
    <row r="744" spans="1:5" ht="36.950000000000003" customHeight="1" thickBot="1" x14ac:dyDescent="0.3">
      <c r="A744" s="56"/>
      <c r="B744" s="56"/>
      <c r="C744" s="4"/>
      <c r="D744" s="4"/>
      <c r="E744" s="8"/>
    </row>
    <row r="745" spans="1:5" ht="36.950000000000003" customHeight="1" thickBot="1" x14ac:dyDescent="0.3">
      <c r="A745" s="56"/>
      <c r="B745" s="56"/>
      <c r="C745" s="4"/>
      <c r="D745" s="4"/>
      <c r="E745" s="8"/>
    </row>
    <row r="746" spans="1:5" ht="36.950000000000003" customHeight="1" thickBot="1" x14ac:dyDescent="0.3">
      <c r="A746" s="56"/>
      <c r="B746" s="56"/>
      <c r="C746" s="4"/>
      <c r="D746" s="4"/>
      <c r="E746" s="8"/>
    </row>
    <row r="747" spans="1:5" ht="36.950000000000003" customHeight="1" thickBot="1" x14ac:dyDescent="0.3">
      <c r="A747" s="56"/>
      <c r="B747" s="56"/>
      <c r="C747" s="4"/>
      <c r="D747" s="4"/>
      <c r="E747" s="8"/>
    </row>
    <row r="748" spans="1:5" ht="36.950000000000003" customHeight="1" thickBot="1" x14ac:dyDescent="0.3">
      <c r="A748" s="56"/>
      <c r="B748" s="56"/>
      <c r="C748" s="4"/>
      <c r="D748" s="4"/>
      <c r="E748" s="8"/>
    </row>
    <row r="749" spans="1:5" ht="36.950000000000003" customHeight="1" thickBot="1" x14ac:dyDescent="0.3">
      <c r="A749" s="56"/>
      <c r="B749" s="56"/>
      <c r="C749" s="4"/>
      <c r="D749" s="4"/>
      <c r="E749" s="8"/>
    </row>
    <row r="750" spans="1:5" ht="36.950000000000003" customHeight="1" thickBot="1" x14ac:dyDescent="0.3">
      <c r="A750" s="56"/>
      <c r="B750" s="56"/>
      <c r="C750" s="4"/>
      <c r="D750" s="4"/>
      <c r="E750" s="8"/>
    </row>
    <row r="751" spans="1:5" ht="36.950000000000003" customHeight="1" thickBot="1" x14ac:dyDescent="0.3">
      <c r="A751" s="56"/>
      <c r="B751" s="56"/>
      <c r="C751" s="4"/>
      <c r="D751" s="4"/>
      <c r="E751" s="8"/>
    </row>
    <row r="752" spans="1:5" ht="36.950000000000003" customHeight="1" thickBot="1" x14ac:dyDescent="0.3">
      <c r="A752" s="56"/>
      <c r="B752" s="56"/>
      <c r="C752" s="4"/>
      <c r="D752" s="4"/>
      <c r="E752" s="8"/>
    </row>
    <row r="753" spans="1:5" ht="36.950000000000003" customHeight="1" thickBot="1" x14ac:dyDescent="0.3">
      <c r="A753" s="56"/>
      <c r="B753" s="56"/>
      <c r="C753" s="4"/>
      <c r="D753" s="4"/>
      <c r="E753" s="8"/>
    </row>
    <row r="754" spans="1:5" ht="36.950000000000003" customHeight="1" thickBot="1" x14ac:dyDescent="0.3">
      <c r="A754" s="56"/>
      <c r="B754" s="56"/>
      <c r="C754" s="4"/>
      <c r="D754" s="4"/>
      <c r="E754" s="8"/>
    </row>
    <row r="755" spans="1:5" ht="36.950000000000003" customHeight="1" thickBot="1" x14ac:dyDescent="0.3">
      <c r="A755" s="56"/>
      <c r="B755" s="56"/>
      <c r="C755" s="4"/>
      <c r="D755" s="4"/>
      <c r="E755" s="8"/>
    </row>
    <row r="756" spans="1:5" ht="36.950000000000003" customHeight="1" thickBot="1" x14ac:dyDescent="0.3">
      <c r="A756" s="56"/>
      <c r="B756" s="56"/>
      <c r="C756" s="4"/>
      <c r="D756" s="4"/>
      <c r="E756" s="8"/>
    </row>
    <row r="757" spans="1:5" ht="36.950000000000003" customHeight="1" thickBot="1" x14ac:dyDescent="0.3">
      <c r="A757" s="56"/>
      <c r="B757" s="56"/>
      <c r="C757" s="4"/>
      <c r="D757" s="4"/>
      <c r="E757" s="8"/>
    </row>
    <row r="758" spans="1:5" ht="36.950000000000003" customHeight="1" thickBot="1" x14ac:dyDescent="0.3">
      <c r="A758" s="56"/>
      <c r="B758" s="56"/>
      <c r="C758" s="4"/>
      <c r="D758" s="4"/>
      <c r="E758" s="8"/>
    </row>
    <row r="759" spans="1:5" ht="36.950000000000003" customHeight="1" thickBot="1" x14ac:dyDescent="0.3">
      <c r="A759" s="56"/>
      <c r="B759" s="56"/>
      <c r="C759" s="4"/>
      <c r="D759" s="4"/>
      <c r="E759" s="8"/>
    </row>
    <row r="760" spans="1:5" ht="36.950000000000003" customHeight="1" thickBot="1" x14ac:dyDescent="0.3">
      <c r="A760" s="56"/>
      <c r="B760" s="56"/>
      <c r="C760" s="4"/>
      <c r="D760" s="4"/>
      <c r="E760" s="8"/>
    </row>
    <row r="761" spans="1:5" ht="36.950000000000003" customHeight="1" thickBot="1" x14ac:dyDescent="0.3">
      <c r="A761" s="56"/>
      <c r="B761" s="56"/>
      <c r="C761" s="4"/>
      <c r="D761" s="4"/>
      <c r="E761" s="8"/>
    </row>
    <row r="762" spans="1:5" ht="36.950000000000003" customHeight="1" thickBot="1" x14ac:dyDescent="0.3">
      <c r="A762" s="56"/>
      <c r="B762" s="56"/>
      <c r="C762" s="4"/>
      <c r="D762" s="4"/>
      <c r="E762" s="8"/>
    </row>
    <row r="763" spans="1:5" ht="36.950000000000003" customHeight="1" thickBot="1" x14ac:dyDescent="0.3">
      <c r="A763" s="56"/>
      <c r="B763" s="56"/>
      <c r="C763" s="4"/>
      <c r="D763" s="4"/>
      <c r="E763" s="8"/>
    </row>
    <row r="764" spans="1:5" ht="36.950000000000003" customHeight="1" thickBot="1" x14ac:dyDescent="0.3">
      <c r="A764" s="56"/>
      <c r="B764" s="56"/>
      <c r="C764" s="4"/>
      <c r="D764" s="4"/>
      <c r="E764" s="8"/>
    </row>
    <row r="765" spans="1:5" ht="36.950000000000003" customHeight="1" thickBot="1" x14ac:dyDescent="0.3">
      <c r="A765" s="56"/>
      <c r="B765" s="56"/>
      <c r="C765" s="4"/>
      <c r="D765" s="4"/>
      <c r="E765" s="8"/>
    </row>
    <row r="766" spans="1:5" ht="36.950000000000003" customHeight="1" thickBot="1" x14ac:dyDescent="0.3">
      <c r="A766" s="56"/>
      <c r="B766" s="56"/>
      <c r="C766" s="4"/>
      <c r="D766" s="4"/>
      <c r="E766" s="8"/>
    </row>
    <row r="767" spans="1:5" ht="36.950000000000003" customHeight="1" thickBot="1" x14ac:dyDescent="0.3">
      <c r="A767" s="56"/>
      <c r="B767" s="56"/>
      <c r="C767" s="4"/>
      <c r="D767" s="4"/>
      <c r="E767" s="8"/>
    </row>
    <row r="768" spans="1:5" ht="36.950000000000003" customHeight="1" thickBot="1" x14ac:dyDescent="0.3">
      <c r="A768" s="56"/>
      <c r="B768" s="56"/>
      <c r="C768" s="4"/>
      <c r="D768" s="4"/>
      <c r="E768" s="8"/>
    </row>
    <row r="769" spans="1:5" ht="36.950000000000003" customHeight="1" thickBot="1" x14ac:dyDescent="0.3">
      <c r="A769" s="56"/>
      <c r="B769" s="56"/>
      <c r="C769" s="4"/>
      <c r="D769" s="4"/>
      <c r="E769" s="8"/>
    </row>
    <row r="770" spans="1:5" ht="36.950000000000003" customHeight="1" thickBot="1" x14ac:dyDescent="0.3">
      <c r="A770" s="56"/>
      <c r="B770" s="56"/>
      <c r="C770" s="4"/>
      <c r="D770" s="4"/>
      <c r="E770" s="8"/>
    </row>
    <row r="771" spans="1:5" ht="36.950000000000003" customHeight="1" thickBot="1" x14ac:dyDescent="0.3">
      <c r="A771" s="56"/>
      <c r="B771" s="56"/>
      <c r="C771" s="4"/>
      <c r="D771" s="4"/>
      <c r="E771" s="8"/>
    </row>
    <row r="772" spans="1:5" ht="36.950000000000003" customHeight="1" thickBot="1" x14ac:dyDescent="0.3">
      <c r="A772" s="56"/>
      <c r="B772" s="56"/>
      <c r="C772" s="4"/>
      <c r="D772" s="4"/>
      <c r="E772" s="8"/>
    </row>
    <row r="773" spans="1:5" ht="36.950000000000003" customHeight="1" thickBot="1" x14ac:dyDescent="0.3">
      <c r="A773" s="56"/>
      <c r="B773" s="56"/>
      <c r="C773" s="4"/>
      <c r="D773" s="4"/>
      <c r="E773" s="8"/>
    </row>
    <row r="774" spans="1:5" ht="36.950000000000003" customHeight="1" thickBot="1" x14ac:dyDescent="0.3">
      <c r="A774" s="56"/>
      <c r="B774" s="56"/>
      <c r="C774" s="4"/>
      <c r="D774" s="4"/>
      <c r="E774" s="8"/>
    </row>
    <row r="775" spans="1:5" ht="36.950000000000003" customHeight="1" thickBot="1" x14ac:dyDescent="0.3">
      <c r="A775" s="56"/>
      <c r="B775" s="56"/>
      <c r="C775" s="4"/>
      <c r="D775" s="4"/>
      <c r="E775" s="8"/>
    </row>
    <row r="776" spans="1:5" ht="36.950000000000003" customHeight="1" thickBot="1" x14ac:dyDescent="0.3">
      <c r="A776" s="56"/>
      <c r="B776" s="56"/>
      <c r="C776" s="4"/>
      <c r="D776" s="4"/>
      <c r="E776" s="8"/>
    </row>
    <row r="777" spans="1:5" ht="36.950000000000003" customHeight="1" thickBot="1" x14ac:dyDescent="0.3">
      <c r="A777" s="56"/>
      <c r="B777" s="56"/>
      <c r="C777" s="4"/>
      <c r="D777" s="4"/>
      <c r="E777" s="8"/>
    </row>
    <row r="778" spans="1:5" ht="36.950000000000003" customHeight="1" thickBot="1" x14ac:dyDescent="0.3">
      <c r="A778" s="56"/>
      <c r="B778" s="56"/>
      <c r="C778" s="4"/>
      <c r="D778" s="4"/>
      <c r="E778" s="8"/>
    </row>
    <row r="779" spans="1:5" ht="36.950000000000003" customHeight="1" thickBot="1" x14ac:dyDescent="0.3">
      <c r="A779" s="56"/>
      <c r="B779" s="56"/>
      <c r="C779" s="4"/>
      <c r="D779" s="4"/>
      <c r="E779" s="8"/>
    </row>
    <row r="780" spans="1:5" ht="36.950000000000003" customHeight="1" thickBot="1" x14ac:dyDescent="0.3">
      <c r="A780" s="56"/>
      <c r="B780" s="56"/>
      <c r="C780" s="4"/>
      <c r="D780" s="4"/>
      <c r="E780" s="8"/>
    </row>
    <row r="781" spans="1:5" ht="36.950000000000003" customHeight="1" thickBot="1" x14ac:dyDescent="0.3">
      <c r="A781" s="56"/>
      <c r="B781" s="56"/>
      <c r="C781" s="4"/>
      <c r="D781" s="4"/>
      <c r="E781" s="8"/>
    </row>
    <row r="782" spans="1:5" ht="36.950000000000003" customHeight="1" thickBot="1" x14ac:dyDescent="0.3">
      <c r="A782" s="56"/>
      <c r="B782" s="56"/>
      <c r="C782" s="4"/>
      <c r="D782" s="4"/>
      <c r="E782" s="8"/>
    </row>
    <row r="783" spans="1:5" ht="36.950000000000003" customHeight="1" thickBot="1" x14ac:dyDescent="0.3">
      <c r="A783" s="56"/>
      <c r="B783" s="56"/>
      <c r="C783" s="4"/>
      <c r="D783" s="4"/>
      <c r="E783" s="8"/>
    </row>
    <row r="784" spans="1:5" ht="36.950000000000003" customHeight="1" thickBot="1" x14ac:dyDescent="0.3">
      <c r="A784" s="56"/>
      <c r="B784" s="56"/>
      <c r="C784" s="4"/>
      <c r="D784" s="4"/>
      <c r="E784" s="8"/>
    </row>
    <row r="785" spans="1:5" ht="36.950000000000003" customHeight="1" thickBot="1" x14ac:dyDescent="0.3">
      <c r="A785" s="56"/>
      <c r="B785" s="56"/>
      <c r="C785" s="4"/>
      <c r="D785" s="4"/>
      <c r="E785" s="8"/>
    </row>
    <row r="786" spans="1:5" ht="36.950000000000003" customHeight="1" thickBot="1" x14ac:dyDescent="0.3">
      <c r="A786" s="56"/>
      <c r="B786" s="56"/>
      <c r="C786" s="4"/>
      <c r="D786" s="4"/>
      <c r="E786" s="8"/>
    </row>
    <row r="787" spans="1:5" ht="36.950000000000003" customHeight="1" thickBot="1" x14ac:dyDescent="0.3">
      <c r="A787" s="56"/>
      <c r="B787" s="56"/>
      <c r="C787" s="4"/>
      <c r="D787" s="4"/>
      <c r="E787" s="8"/>
    </row>
    <row r="788" spans="1:5" ht="36.950000000000003" customHeight="1" thickBot="1" x14ac:dyDescent="0.3">
      <c r="A788" s="56"/>
      <c r="B788" s="56"/>
      <c r="C788" s="4"/>
      <c r="D788" s="4"/>
      <c r="E788" s="8"/>
    </row>
    <row r="789" spans="1:5" ht="36.950000000000003" customHeight="1" thickBot="1" x14ac:dyDescent="0.3">
      <c r="A789" s="56"/>
      <c r="B789" s="56"/>
      <c r="C789" s="4"/>
      <c r="D789" s="4"/>
      <c r="E789" s="8"/>
    </row>
    <row r="790" spans="1:5" ht="36.950000000000003" customHeight="1" thickBot="1" x14ac:dyDescent="0.3">
      <c r="A790" s="56"/>
      <c r="B790" s="56"/>
      <c r="C790" s="4"/>
      <c r="D790" s="4"/>
      <c r="E790" s="8"/>
    </row>
    <row r="791" spans="1:5" ht="36.950000000000003" customHeight="1" thickBot="1" x14ac:dyDescent="0.3">
      <c r="A791" s="56"/>
      <c r="B791" s="56"/>
      <c r="C791" s="4"/>
      <c r="D791" s="4"/>
      <c r="E791" s="8"/>
    </row>
    <row r="792" spans="1:5" ht="36.950000000000003" customHeight="1" thickBot="1" x14ac:dyDescent="0.3">
      <c r="A792" s="56"/>
      <c r="B792" s="56"/>
      <c r="C792" s="4"/>
      <c r="D792" s="4"/>
      <c r="E792" s="8"/>
    </row>
    <row r="793" spans="1:5" ht="36.950000000000003" customHeight="1" thickBot="1" x14ac:dyDescent="0.3">
      <c r="A793" s="56"/>
      <c r="B793" s="56"/>
      <c r="C793" s="4"/>
      <c r="D793" s="4"/>
      <c r="E793" s="8"/>
    </row>
    <row r="794" spans="1:5" ht="36.950000000000003" customHeight="1" thickBot="1" x14ac:dyDescent="0.3">
      <c r="A794" s="56"/>
      <c r="B794" s="56"/>
      <c r="C794" s="4"/>
      <c r="D794" s="4"/>
      <c r="E794" s="8"/>
    </row>
    <row r="795" spans="1:5" ht="36.950000000000003" customHeight="1" thickBot="1" x14ac:dyDescent="0.3">
      <c r="A795" s="56"/>
      <c r="B795" s="56"/>
      <c r="C795" s="4"/>
      <c r="D795" s="4"/>
      <c r="E795" s="8"/>
    </row>
    <row r="796" spans="1:5" ht="36.950000000000003" customHeight="1" thickBot="1" x14ac:dyDescent="0.3">
      <c r="A796" s="56"/>
      <c r="B796" s="56"/>
      <c r="C796" s="4"/>
      <c r="D796" s="4"/>
      <c r="E796" s="8"/>
    </row>
    <row r="797" spans="1:5" ht="36.950000000000003" customHeight="1" thickBot="1" x14ac:dyDescent="0.3">
      <c r="A797" s="56"/>
      <c r="B797" s="56"/>
      <c r="C797" s="4"/>
      <c r="D797" s="4"/>
      <c r="E797" s="8"/>
    </row>
    <row r="798" spans="1:5" ht="36.950000000000003" customHeight="1" thickBot="1" x14ac:dyDescent="0.3">
      <c r="A798" s="56"/>
      <c r="B798" s="56"/>
      <c r="C798" s="4"/>
      <c r="D798" s="4"/>
      <c r="E798" s="8"/>
    </row>
    <row r="799" spans="1:5" ht="36.950000000000003" customHeight="1" thickBot="1" x14ac:dyDescent="0.3">
      <c r="A799" s="56"/>
      <c r="B799" s="56"/>
      <c r="C799" s="4"/>
      <c r="D799" s="4"/>
      <c r="E799" s="8"/>
    </row>
    <row r="800" spans="1:5" ht="36.950000000000003" customHeight="1" thickBot="1" x14ac:dyDescent="0.3">
      <c r="A800" s="56"/>
      <c r="B800" s="56"/>
      <c r="C800" s="4"/>
      <c r="D800" s="4"/>
      <c r="E800" s="8"/>
    </row>
    <row r="801" spans="1:5" ht="36.950000000000003" customHeight="1" thickBot="1" x14ac:dyDescent="0.3">
      <c r="A801" s="56"/>
      <c r="B801" s="56"/>
      <c r="C801" s="4"/>
      <c r="D801" s="4"/>
      <c r="E801" s="8"/>
    </row>
    <row r="802" spans="1:5" ht="36.950000000000003" customHeight="1" thickBot="1" x14ac:dyDescent="0.3">
      <c r="A802" s="56"/>
      <c r="B802" s="56"/>
      <c r="C802" s="4"/>
      <c r="D802" s="4"/>
      <c r="E802" s="8"/>
    </row>
    <row r="803" spans="1:5" ht="36.950000000000003" customHeight="1" thickBot="1" x14ac:dyDescent="0.3">
      <c r="A803" s="56"/>
      <c r="B803" s="56"/>
      <c r="C803" s="4"/>
      <c r="D803" s="4"/>
      <c r="E803" s="8"/>
    </row>
    <row r="804" spans="1:5" ht="36.950000000000003" customHeight="1" thickBot="1" x14ac:dyDescent="0.3">
      <c r="A804" s="56"/>
      <c r="B804" s="56"/>
      <c r="C804" s="4"/>
      <c r="D804" s="4"/>
      <c r="E804" s="8"/>
    </row>
    <row r="805" spans="1:5" ht="36.950000000000003" customHeight="1" thickBot="1" x14ac:dyDescent="0.3">
      <c r="A805" s="56"/>
      <c r="B805" s="56"/>
      <c r="C805" s="4"/>
      <c r="D805" s="4"/>
      <c r="E805" s="8"/>
    </row>
    <row r="806" spans="1:5" ht="36.950000000000003" customHeight="1" thickBot="1" x14ac:dyDescent="0.3">
      <c r="A806" s="56"/>
      <c r="B806" s="56"/>
      <c r="C806" s="4"/>
      <c r="D806" s="4"/>
      <c r="E806" s="8"/>
    </row>
    <row r="807" spans="1:5" ht="36.950000000000003" customHeight="1" thickBot="1" x14ac:dyDescent="0.3">
      <c r="A807" s="56"/>
      <c r="B807" s="56"/>
      <c r="C807" s="4"/>
      <c r="D807" s="4"/>
      <c r="E807" s="8"/>
    </row>
    <row r="808" spans="1:5" ht="36.950000000000003" customHeight="1" thickBot="1" x14ac:dyDescent="0.3">
      <c r="A808" s="56"/>
      <c r="B808" s="56"/>
      <c r="C808" s="4"/>
      <c r="D808" s="4"/>
      <c r="E808" s="8"/>
    </row>
    <row r="809" spans="1:5" ht="36.950000000000003" customHeight="1" thickBot="1" x14ac:dyDescent="0.3">
      <c r="A809" s="56"/>
      <c r="B809" s="56"/>
      <c r="C809" s="4"/>
      <c r="D809" s="4"/>
      <c r="E809" s="8"/>
    </row>
    <row r="810" spans="1:5" ht="36.950000000000003" customHeight="1" thickBot="1" x14ac:dyDescent="0.3">
      <c r="A810" s="56"/>
      <c r="B810" s="56"/>
      <c r="C810" s="4"/>
      <c r="D810" s="4"/>
      <c r="E810" s="8"/>
    </row>
    <row r="811" spans="1:5" ht="36.950000000000003" customHeight="1" thickBot="1" x14ac:dyDescent="0.3">
      <c r="A811" s="56"/>
      <c r="B811" s="56"/>
      <c r="C811" s="4"/>
      <c r="D811" s="4"/>
      <c r="E811" s="8"/>
    </row>
    <row r="812" spans="1:5" ht="36.950000000000003" customHeight="1" thickBot="1" x14ac:dyDescent="0.3">
      <c r="A812" s="56"/>
      <c r="B812" s="56"/>
      <c r="C812" s="4"/>
      <c r="D812" s="4"/>
      <c r="E812" s="8"/>
    </row>
    <row r="813" spans="1:5" ht="36.950000000000003" customHeight="1" thickBot="1" x14ac:dyDescent="0.3">
      <c r="A813" s="56"/>
      <c r="B813" s="56"/>
      <c r="C813" s="4"/>
      <c r="D813" s="4"/>
      <c r="E813" s="8"/>
    </row>
    <row r="814" spans="1:5" ht="36.950000000000003" customHeight="1" thickBot="1" x14ac:dyDescent="0.3">
      <c r="A814" s="56"/>
      <c r="B814" s="56"/>
      <c r="C814" s="4"/>
      <c r="D814" s="4"/>
      <c r="E814" s="8"/>
    </row>
    <row r="815" spans="1:5" ht="36.950000000000003" customHeight="1" thickBot="1" x14ac:dyDescent="0.3">
      <c r="A815" s="56"/>
      <c r="B815" s="56"/>
      <c r="C815" s="4"/>
      <c r="D815" s="4"/>
      <c r="E815" s="8"/>
    </row>
    <row r="816" spans="1:5" ht="36.950000000000003" customHeight="1" thickBot="1" x14ac:dyDescent="0.3">
      <c r="A816" s="56"/>
      <c r="B816" s="56"/>
      <c r="C816" s="4"/>
      <c r="D816" s="4"/>
      <c r="E816" s="8"/>
    </row>
    <row r="817" spans="1:5" ht="36.950000000000003" customHeight="1" thickBot="1" x14ac:dyDescent="0.3">
      <c r="A817" s="56"/>
      <c r="B817" s="56"/>
      <c r="C817" s="4"/>
      <c r="D817" s="4"/>
      <c r="E817" s="8"/>
    </row>
    <row r="818" spans="1:5" ht="36.950000000000003" customHeight="1" thickBot="1" x14ac:dyDescent="0.3">
      <c r="A818" s="56"/>
      <c r="B818" s="56"/>
      <c r="C818" s="4"/>
      <c r="D818" s="4"/>
      <c r="E818" s="8"/>
    </row>
    <row r="819" spans="1:5" ht="36.950000000000003" customHeight="1" thickBot="1" x14ac:dyDescent="0.3">
      <c r="A819" s="56"/>
      <c r="B819" s="56"/>
      <c r="C819" s="4"/>
      <c r="D819" s="4"/>
      <c r="E819" s="8"/>
    </row>
    <row r="820" spans="1:5" ht="36.950000000000003" customHeight="1" thickBot="1" x14ac:dyDescent="0.3">
      <c r="A820" s="56"/>
      <c r="B820" s="56"/>
      <c r="C820" s="4"/>
      <c r="D820" s="4"/>
      <c r="E820" s="8"/>
    </row>
    <row r="821" spans="1:5" ht="36.950000000000003" customHeight="1" thickBot="1" x14ac:dyDescent="0.3">
      <c r="A821" s="56"/>
      <c r="B821" s="56"/>
      <c r="C821" s="4"/>
      <c r="D821" s="4"/>
      <c r="E821" s="8"/>
    </row>
    <row r="822" spans="1:5" ht="36.950000000000003" customHeight="1" thickBot="1" x14ac:dyDescent="0.3">
      <c r="A822" s="56"/>
      <c r="B822" s="56"/>
      <c r="C822" s="4"/>
      <c r="D822" s="4"/>
      <c r="E822" s="8"/>
    </row>
    <row r="823" spans="1:5" ht="36.950000000000003" customHeight="1" thickBot="1" x14ac:dyDescent="0.3">
      <c r="A823" s="56"/>
      <c r="B823" s="56"/>
      <c r="C823" s="4"/>
      <c r="D823" s="4"/>
      <c r="E823" s="8"/>
    </row>
    <row r="824" spans="1:5" ht="36.950000000000003" customHeight="1" thickBot="1" x14ac:dyDescent="0.3">
      <c r="A824" s="56"/>
      <c r="B824" s="56"/>
      <c r="C824" s="4"/>
      <c r="D824" s="4"/>
      <c r="E824" s="8"/>
    </row>
    <row r="825" spans="1:5" ht="36.950000000000003" customHeight="1" thickBot="1" x14ac:dyDescent="0.3">
      <c r="A825" s="56"/>
      <c r="B825" s="56"/>
      <c r="C825" s="4"/>
      <c r="D825" s="4"/>
      <c r="E825" s="8"/>
    </row>
    <row r="826" spans="1:5" ht="36.950000000000003" customHeight="1" thickBot="1" x14ac:dyDescent="0.3">
      <c r="A826" s="56"/>
      <c r="B826" s="56"/>
      <c r="C826" s="4"/>
      <c r="D826" s="4"/>
      <c r="E826" s="8"/>
    </row>
    <row r="827" spans="1:5" ht="36.950000000000003" customHeight="1" thickBot="1" x14ac:dyDescent="0.3">
      <c r="A827" s="56"/>
      <c r="B827" s="56"/>
      <c r="C827" s="4"/>
      <c r="D827" s="4"/>
      <c r="E827" s="8"/>
    </row>
    <row r="828" spans="1:5" ht="36.950000000000003" customHeight="1" thickBot="1" x14ac:dyDescent="0.3">
      <c r="A828" s="56"/>
      <c r="B828" s="56"/>
      <c r="C828" s="4"/>
      <c r="D828" s="4"/>
      <c r="E828" s="8"/>
    </row>
    <row r="829" spans="1:5" ht="36.950000000000003" customHeight="1" thickBot="1" x14ac:dyDescent="0.3">
      <c r="A829" s="56"/>
      <c r="B829" s="56"/>
      <c r="C829" s="4"/>
      <c r="D829" s="4"/>
      <c r="E829" s="8"/>
    </row>
    <row r="830" spans="1:5" ht="36.950000000000003" customHeight="1" thickBot="1" x14ac:dyDescent="0.3">
      <c r="A830" s="56"/>
      <c r="B830" s="56"/>
      <c r="C830" s="4"/>
      <c r="D830" s="4"/>
      <c r="E830" s="8"/>
    </row>
    <row r="831" spans="1:5" ht="36.950000000000003" customHeight="1" thickBot="1" x14ac:dyDescent="0.3">
      <c r="A831" s="56"/>
      <c r="B831" s="56"/>
      <c r="C831" s="4"/>
      <c r="D831" s="4"/>
      <c r="E831" s="8"/>
    </row>
    <row r="832" spans="1:5" ht="36.950000000000003" customHeight="1" thickBot="1" x14ac:dyDescent="0.3">
      <c r="A832" s="56"/>
      <c r="B832" s="56"/>
      <c r="C832" s="4"/>
      <c r="D832" s="4"/>
      <c r="E832" s="8"/>
    </row>
    <row r="833" spans="1:5" ht="36.950000000000003" customHeight="1" thickBot="1" x14ac:dyDescent="0.3">
      <c r="A833" s="56"/>
      <c r="B833" s="56"/>
      <c r="C833" s="4"/>
      <c r="D833" s="4"/>
      <c r="E833" s="8"/>
    </row>
    <row r="834" spans="1:5" ht="36.950000000000003" customHeight="1" thickBot="1" x14ac:dyDescent="0.3">
      <c r="A834" s="56"/>
      <c r="B834" s="56"/>
      <c r="C834" s="4"/>
      <c r="D834" s="4"/>
      <c r="E834" s="8"/>
    </row>
    <row r="835" spans="1:5" ht="36.950000000000003" customHeight="1" thickBot="1" x14ac:dyDescent="0.3">
      <c r="A835" s="56"/>
      <c r="B835" s="56"/>
      <c r="C835" s="4"/>
      <c r="D835" s="4"/>
      <c r="E835" s="8"/>
    </row>
    <row r="836" spans="1:5" ht="36.950000000000003" customHeight="1" thickBot="1" x14ac:dyDescent="0.3">
      <c r="A836" s="56"/>
      <c r="B836" s="56"/>
      <c r="C836" s="4"/>
      <c r="D836" s="4"/>
      <c r="E836" s="8"/>
    </row>
    <row r="837" spans="1:5" ht="36.950000000000003" customHeight="1" thickBot="1" x14ac:dyDescent="0.3">
      <c r="A837" s="56"/>
      <c r="B837" s="56"/>
      <c r="C837" s="4"/>
      <c r="D837" s="4"/>
      <c r="E837" s="8"/>
    </row>
    <row r="838" spans="1:5" ht="36.950000000000003" customHeight="1" thickBot="1" x14ac:dyDescent="0.3">
      <c r="A838" s="56"/>
      <c r="B838" s="56"/>
      <c r="C838" s="4"/>
      <c r="D838" s="4"/>
      <c r="E838" s="8"/>
    </row>
    <row r="839" spans="1:5" ht="36.950000000000003" customHeight="1" thickBot="1" x14ac:dyDescent="0.3">
      <c r="A839" s="56"/>
      <c r="B839" s="56"/>
      <c r="C839" s="4"/>
      <c r="D839" s="4"/>
      <c r="E839" s="8"/>
    </row>
    <row r="840" spans="1:5" ht="36.950000000000003" customHeight="1" thickBot="1" x14ac:dyDescent="0.3">
      <c r="A840" s="56"/>
      <c r="B840" s="56"/>
      <c r="C840" s="4"/>
      <c r="D840" s="4"/>
      <c r="E840" s="8"/>
    </row>
    <row r="841" spans="1:5" ht="36.950000000000003" customHeight="1" thickBot="1" x14ac:dyDescent="0.3">
      <c r="A841" s="56"/>
      <c r="B841" s="56"/>
      <c r="C841" s="4"/>
      <c r="D841" s="4"/>
      <c r="E841" s="8"/>
    </row>
    <row r="842" spans="1:5" ht="36.950000000000003" customHeight="1" thickBot="1" x14ac:dyDescent="0.3">
      <c r="A842" s="56"/>
      <c r="B842" s="56"/>
      <c r="C842" s="4"/>
      <c r="D842" s="4"/>
      <c r="E842" s="8"/>
    </row>
    <row r="843" spans="1:5" ht="36.950000000000003" customHeight="1" thickBot="1" x14ac:dyDescent="0.3">
      <c r="A843" s="56"/>
      <c r="B843" s="56"/>
      <c r="C843" s="4"/>
      <c r="D843" s="4"/>
      <c r="E843" s="8"/>
    </row>
    <row r="844" spans="1:5" ht="36.950000000000003" customHeight="1" thickBot="1" x14ac:dyDescent="0.3">
      <c r="A844" s="56"/>
      <c r="B844" s="56"/>
      <c r="C844" s="4"/>
      <c r="D844" s="4"/>
      <c r="E844" s="8"/>
    </row>
    <row r="845" spans="1:5" ht="36.950000000000003" customHeight="1" thickBot="1" x14ac:dyDescent="0.3">
      <c r="A845" s="56"/>
      <c r="B845" s="56"/>
      <c r="C845" s="4"/>
      <c r="D845" s="4"/>
      <c r="E845" s="8"/>
    </row>
    <row r="846" spans="1:5" ht="36.950000000000003" customHeight="1" thickBot="1" x14ac:dyDescent="0.3">
      <c r="A846" s="56"/>
      <c r="B846" s="56"/>
      <c r="C846" s="4"/>
      <c r="D846" s="4"/>
      <c r="E846" s="8"/>
    </row>
    <row r="847" spans="1:5" ht="36.950000000000003" customHeight="1" thickBot="1" x14ac:dyDescent="0.3">
      <c r="A847" s="56"/>
      <c r="B847" s="56"/>
      <c r="C847" s="4"/>
      <c r="D847" s="4"/>
      <c r="E847" s="8"/>
    </row>
    <row r="848" spans="1:5" ht="36.950000000000003" customHeight="1" thickBot="1" x14ac:dyDescent="0.3">
      <c r="A848" s="56"/>
      <c r="B848" s="56"/>
      <c r="C848" s="4"/>
      <c r="D848" s="4"/>
      <c r="E848" s="8"/>
    </row>
    <row r="849" spans="1:5" ht="36.950000000000003" customHeight="1" thickBot="1" x14ac:dyDescent="0.3">
      <c r="A849" s="56"/>
      <c r="B849" s="56"/>
      <c r="C849" s="4"/>
      <c r="D849" s="4"/>
      <c r="E849" s="8"/>
    </row>
    <row r="850" spans="1:5" ht="36.950000000000003" customHeight="1" thickBot="1" x14ac:dyDescent="0.3">
      <c r="A850" s="56"/>
      <c r="B850" s="56"/>
      <c r="C850" s="4"/>
      <c r="D850" s="4"/>
      <c r="E850" s="8"/>
    </row>
    <row r="851" spans="1:5" ht="36.950000000000003" customHeight="1" thickBot="1" x14ac:dyDescent="0.3">
      <c r="A851" s="56"/>
      <c r="B851" s="56"/>
      <c r="C851" s="4"/>
      <c r="D851" s="4"/>
      <c r="E851" s="8"/>
    </row>
    <row r="852" spans="1:5" ht="36.950000000000003" customHeight="1" thickBot="1" x14ac:dyDescent="0.3">
      <c r="A852" s="56"/>
      <c r="B852" s="56"/>
      <c r="C852" s="4"/>
      <c r="D852" s="4"/>
      <c r="E852" s="8"/>
    </row>
    <row r="853" spans="1:5" ht="36.950000000000003" customHeight="1" thickBot="1" x14ac:dyDescent="0.3">
      <c r="A853" s="56"/>
      <c r="B853" s="56"/>
      <c r="C853" s="4"/>
      <c r="D853" s="4"/>
      <c r="E853" s="8"/>
    </row>
    <row r="854" spans="1:5" ht="36.950000000000003" customHeight="1" thickBot="1" x14ac:dyDescent="0.3">
      <c r="A854" s="56"/>
      <c r="B854" s="56"/>
      <c r="C854" s="4"/>
      <c r="D854" s="4"/>
      <c r="E854" s="8"/>
    </row>
    <row r="855" spans="1:5" ht="36.950000000000003" customHeight="1" thickBot="1" x14ac:dyDescent="0.3">
      <c r="A855" s="56"/>
      <c r="B855" s="56"/>
      <c r="C855" s="4"/>
      <c r="D855" s="4"/>
      <c r="E855" s="8"/>
    </row>
    <row r="856" spans="1:5" ht="36.950000000000003" customHeight="1" thickBot="1" x14ac:dyDescent="0.3">
      <c r="A856" s="56"/>
      <c r="B856" s="56"/>
      <c r="C856" s="4"/>
      <c r="D856" s="4"/>
      <c r="E856" s="8"/>
    </row>
    <row r="857" spans="1:5" ht="36.950000000000003" customHeight="1" thickBot="1" x14ac:dyDescent="0.3">
      <c r="A857" s="56"/>
      <c r="B857" s="56"/>
      <c r="C857" s="4"/>
      <c r="D857" s="4"/>
      <c r="E857" s="8"/>
    </row>
    <row r="858" spans="1:5" ht="36.950000000000003" customHeight="1" thickBot="1" x14ac:dyDescent="0.3">
      <c r="A858" s="56"/>
      <c r="B858" s="56"/>
      <c r="C858" s="4"/>
      <c r="D858" s="4"/>
      <c r="E858" s="8"/>
    </row>
    <row r="859" spans="1:5" ht="36.950000000000003" customHeight="1" thickBot="1" x14ac:dyDescent="0.3">
      <c r="A859" s="56"/>
      <c r="B859" s="56"/>
      <c r="C859" s="4"/>
      <c r="D859" s="4"/>
      <c r="E859" s="8"/>
    </row>
    <row r="860" spans="1:5" ht="36.950000000000003" customHeight="1" thickBot="1" x14ac:dyDescent="0.3">
      <c r="A860" s="56"/>
      <c r="B860" s="56"/>
      <c r="C860" s="4"/>
      <c r="D860" s="4"/>
      <c r="E860" s="8"/>
    </row>
    <row r="861" spans="1:5" ht="36.950000000000003" customHeight="1" thickBot="1" x14ac:dyDescent="0.3">
      <c r="A861" s="56"/>
      <c r="B861" s="56"/>
      <c r="C861" s="4"/>
      <c r="D861" s="4"/>
      <c r="E861" s="8"/>
    </row>
    <row r="862" spans="1:5" ht="36.950000000000003" customHeight="1" thickBot="1" x14ac:dyDescent="0.3">
      <c r="A862" s="56"/>
      <c r="B862" s="56"/>
      <c r="C862" s="4"/>
      <c r="D862" s="4"/>
      <c r="E862" s="8"/>
    </row>
    <row r="863" spans="1:5" ht="36.950000000000003" customHeight="1" thickBot="1" x14ac:dyDescent="0.3">
      <c r="A863" s="56"/>
      <c r="B863" s="56"/>
      <c r="C863" s="4"/>
      <c r="D863" s="4"/>
      <c r="E863" s="8"/>
    </row>
    <row r="864" spans="1:5" ht="36.950000000000003" customHeight="1" thickBot="1" x14ac:dyDescent="0.3">
      <c r="A864" s="56"/>
      <c r="B864" s="56"/>
      <c r="C864" s="4"/>
      <c r="D864" s="4"/>
      <c r="E864" s="8"/>
    </row>
    <row r="865" spans="1:5" ht="36.950000000000003" customHeight="1" thickBot="1" x14ac:dyDescent="0.3">
      <c r="A865" s="56"/>
      <c r="B865" s="56"/>
      <c r="C865" s="4"/>
      <c r="D865" s="4"/>
      <c r="E865" s="8"/>
    </row>
    <row r="866" spans="1:5" ht="36.950000000000003" customHeight="1" thickBot="1" x14ac:dyDescent="0.3">
      <c r="A866" s="56"/>
      <c r="B866" s="56"/>
      <c r="C866" s="4"/>
      <c r="D866" s="4"/>
      <c r="E866" s="8"/>
    </row>
    <row r="867" spans="1:5" ht="36.950000000000003" customHeight="1" thickBot="1" x14ac:dyDescent="0.3">
      <c r="A867" s="56"/>
      <c r="B867" s="56"/>
      <c r="C867" s="4"/>
      <c r="D867" s="4"/>
      <c r="E867" s="8"/>
    </row>
    <row r="868" spans="1:5" ht="36.950000000000003" customHeight="1" thickBot="1" x14ac:dyDescent="0.3">
      <c r="A868" s="56"/>
      <c r="B868" s="56"/>
      <c r="C868" s="4"/>
      <c r="D868" s="4"/>
      <c r="E868" s="8"/>
    </row>
    <row r="869" spans="1:5" ht="36.950000000000003" customHeight="1" thickBot="1" x14ac:dyDescent="0.3">
      <c r="A869" s="56"/>
      <c r="B869" s="56"/>
      <c r="C869" s="4"/>
      <c r="D869" s="4"/>
      <c r="E869" s="8"/>
    </row>
    <row r="870" spans="1:5" ht="36.950000000000003" customHeight="1" thickBot="1" x14ac:dyDescent="0.3">
      <c r="A870" s="56"/>
      <c r="B870" s="56"/>
      <c r="C870" s="4"/>
      <c r="D870" s="4"/>
      <c r="E870" s="8"/>
    </row>
    <row r="871" spans="1:5" ht="36.950000000000003" customHeight="1" thickBot="1" x14ac:dyDescent="0.3">
      <c r="A871" s="56"/>
      <c r="B871" s="56"/>
      <c r="C871" s="4"/>
      <c r="D871" s="4"/>
      <c r="E871" s="8"/>
    </row>
    <row r="872" spans="1:5" ht="36.950000000000003" customHeight="1" thickBot="1" x14ac:dyDescent="0.3">
      <c r="A872" s="56"/>
      <c r="B872" s="56"/>
      <c r="C872" s="4"/>
      <c r="D872" s="4"/>
      <c r="E872" s="8"/>
    </row>
    <row r="873" spans="1:5" ht="36.950000000000003" customHeight="1" thickBot="1" x14ac:dyDescent="0.3">
      <c r="A873" s="56"/>
      <c r="B873" s="56"/>
      <c r="C873" s="4"/>
      <c r="D873" s="4"/>
      <c r="E873" s="8"/>
    </row>
    <row r="874" spans="1:5" ht="36.950000000000003" customHeight="1" thickBot="1" x14ac:dyDescent="0.3">
      <c r="A874" s="56"/>
      <c r="B874" s="56"/>
      <c r="C874" s="4"/>
      <c r="D874" s="4"/>
      <c r="E874" s="8"/>
    </row>
    <row r="875" spans="1:5" ht="36.950000000000003" customHeight="1" thickBot="1" x14ac:dyDescent="0.3">
      <c r="A875" s="56"/>
      <c r="B875" s="56"/>
      <c r="C875" s="4"/>
      <c r="D875" s="4"/>
      <c r="E875" s="8"/>
    </row>
    <row r="876" spans="1:5" ht="36.950000000000003" customHeight="1" thickBot="1" x14ac:dyDescent="0.3">
      <c r="A876" s="56"/>
      <c r="B876" s="56"/>
      <c r="C876" s="4"/>
      <c r="D876" s="4"/>
      <c r="E876" s="8"/>
    </row>
    <row r="877" spans="1:5" ht="36.950000000000003" customHeight="1" thickBot="1" x14ac:dyDescent="0.3">
      <c r="A877" s="56"/>
      <c r="B877" s="56"/>
      <c r="C877" s="4"/>
      <c r="D877" s="4"/>
      <c r="E877" s="8"/>
    </row>
    <row r="878" spans="1:5" ht="36.950000000000003" customHeight="1" thickBot="1" x14ac:dyDescent="0.3">
      <c r="A878" s="56"/>
      <c r="B878" s="56"/>
      <c r="C878" s="4"/>
      <c r="D878" s="4"/>
      <c r="E878" s="8"/>
    </row>
    <row r="879" spans="1:5" ht="36.950000000000003" customHeight="1" thickBot="1" x14ac:dyDescent="0.3">
      <c r="A879" s="56"/>
      <c r="B879" s="56"/>
      <c r="C879" s="4"/>
      <c r="D879" s="4"/>
      <c r="E879" s="8"/>
    </row>
    <row r="880" spans="1:5" ht="36.950000000000003" customHeight="1" thickBot="1" x14ac:dyDescent="0.3">
      <c r="A880" s="56"/>
      <c r="B880" s="56"/>
      <c r="C880" s="4"/>
      <c r="D880" s="4"/>
      <c r="E880" s="8"/>
    </row>
    <row r="881" spans="1:5" ht="36.950000000000003" customHeight="1" thickBot="1" x14ac:dyDescent="0.3">
      <c r="A881" s="56"/>
      <c r="B881" s="56"/>
      <c r="C881" s="4"/>
      <c r="D881" s="4"/>
      <c r="E881" s="8"/>
    </row>
    <row r="882" spans="1:5" ht="36.950000000000003" customHeight="1" thickBot="1" x14ac:dyDescent="0.3">
      <c r="A882" s="56"/>
      <c r="B882" s="56"/>
      <c r="C882" s="4"/>
      <c r="D882" s="4"/>
      <c r="E882" s="8"/>
    </row>
    <row r="883" spans="1:5" ht="36.950000000000003" customHeight="1" thickBot="1" x14ac:dyDescent="0.3">
      <c r="A883" s="56"/>
      <c r="B883" s="56"/>
      <c r="C883" s="4"/>
      <c r="D883" s="4"/>
      <c r="E883" s="8"/>
    </row>
    <row r="884" spans="1:5" ht="36.950000000000003" customHeight="1" thickBot="1" x14ac:dyDescent="0.3">
      <c r="A884" s="56"/>
      <c r="B884" s="56"/>
      <c r="C884" s="4"/>
      <c r="D884" s="4"/>
      <c r="E884" s="8"/>
    </row>
    <row r="885" spans="1:5" ht="36.950000000000003" customHeight="1" thickBot="1" x14ac:dyDescent="0.3">
      <c r="A885" s="56"/>
      <c r="B885" s="56"/>
      <c r="C885" s="4"/>
      <c r="D885" s="4"/>
      <c r="E885" s="8"/>
    </row>
    <row r="886" spans="1:5" ht="36.950000000000003" customHeight="1" thickBot="1" x14ac:dyDescent="0.3">
      <c r="A886" s="56"/>
      <c r="B886" s="56"/>
      <c r="C886" s="4"/>
      <c r="D886" s="4"/>
      <c r="E886" s="8"/>
    </row>
    <row r="887" spans="1:5" ht="36.950000000000003" customHeight="1" thickBot="1" x14ac:dyDescent="0.3">
      <c r="A887" s="56"/>
      <c r="B887" s="56"/>
      <c r="C887" s="4"/>
      <c r="D887" s="4"/>
      <c r="E887" s="8"/>
    </row>
    <row r="888" spans="1:5" ht="36.950000000000003" customHeight="1" thickBot="1" x14ac:dyDescent="0.3">
      <c r="A888" s="56"/>
      <c r="B888" s="56"/>
      <c r="C888" s="4"/>
      <c r="D888" s="4"/>
      <c r="E888" s="8"/>
    </row>
    <row r="889" spans="1:5" ht="36.950000000000003" customHeight="1" thickBot="1" x14ac:dyDescent="0.3">
      <c r="A889" s="56"/>
      <c r="B889" s="56"/>
      <c r="C889" s="4"/>
      <c r="D889" s="4"/>
      <c r="E889" s="8"/>
    </row>
    <row r="890" spans="1:5" ht="36.950000000000003" customHeight="1" thickBot="1" x14ac:dyDescent="0.3">
      <c r="A890" s="56"/>
      <c r="B890" s="56"/>
      <c r="C890" s="4"/>
      <c r="D890" s="4"/>
      <c r="E890" s="8"/>
    </row>
    <row r="891" spans="1:5" ht="36.950000000000003" customHeight="1" thickBot="1" x14ac:dyDescent="0.3">
      <c r="A891" s="56"/>
      <c r="B891" s="56"/>
      <c r="C891" s="4"/>
      <c r="D891" s="4"/>
      <c r="E891" s="8"/>
    </row>
    <row r="892" spans="1:5" ht="36.950000000000003" customHeight="1" thickBot="1" x14ac:dyDescent="0.3">
      <c r="A892" s="56"/>
      <c r="B892" s="56"/>
      <c r="C892" s="4"/>
      <c r="D892" s="4"/>
      <c r="E892" s="8"/>
    </row>
    <row r="893" spans="1:5" ht="36.950000000000003" customHeight="1" thickBot="1" x14ac:dyDescent="0.3">
      <c r="A893" s="56"/>
      <c r="B893" s="56"/>
      <c r="C893" s="4"/>
      <c r="D893" s="4"/>
      <c r="E893" s="8"/>
    </row>
    <row r="894" spans="1:5" ht="36.950000000000003" customHeight="1" thickBot="1" x14ac:dyDescent="0.3">
      <c r="A894" s="56"/>
      <c r="B894" s="56"/>
      <c r="C894" s="4"/>
      <c r="D894" s="4"/>
      <c r="E894" s="8"/>
    </row>
    <row r="895" spans="1:5" ht="36.950000000000003" customHeight="1" thickBot="1" x14ac:dyDescent="0.3">
      <c r="A895" s="56"/>
      <c r="B895" s="56"/>
      <c r="C895" s="4"/>
      <c r="D895" s="4"/>
      <c r="E895" s="8"/>
    </row>
    <row r="896" spans="1:5" ht="36.950000000000003" customHeight="1" thickBot="1" x14ac:dyDescent="0.3">
      <c r="A896" s="56"/>
      <c r="B896" s="56"/>
      <c r="C896" s="4"/>
      <c r="D896" s="4"/>
      <c r="E896" s="8"/>
    </row>
    <row r="897" spans="1:5" ht="36.950000000000003" customHeight="1" thickBot="1" x14ac:dyDescent="0.3">
      <c r="A897" s="56"/>
      <c r="B897" s="56"/>
      <c r="C897" s="4"/>
      <c r="D897" s="4"/>
      <c r="E897" s="8"/>
    </row>
    <row r="898" spans="1:5" ht="36.950000000000003" customHeight="1" thickBot="1" x14ac:dyDescent="0.3">
      <c r="A898" s="56"/>
      <c r="B898" s="56"/>
      <c r="C898" s="4"/>
      <c r="D898" s="4"/>
      <c r="E898" s="8"/>
    </row>
    <row r="899" spans="1:5" ht="36.950000000000003" customHeight="1" thickBot="1" x14ac:dyDescent="0.3">
      <c r="A899" s="56"/>
      <c r="B899" s="56"/>
      <c r="C899" s="4"/>
      <c r="D899" s="4"/>
      <c r="E899" s="8"/>
    </row>
    <row r="900" spans="1:5" ht="36.950000000000003" customHeight="1" thickBot="1" x14ac:dyDescent="0.3">
      <c r="A900" s="56"/>
      <c r="B900" s="56"/>
      <c r="C900" s="4"/>
      <c r="D900" s="4"/>
      <c r="E900" s="8"/>
    </row>
    <row r="901" spans="1:5" ht="36.950000000000003" customHeight="1" thickBot="1" x14ac:dyDescent="0.3">
      <c r="A901" s="56"/>
      <c r="B901" s="56"/>
      <c r="C901" s="4"/>
      <c r="D901" s="4"/>
      <c r="E901" s="8"/>
    </row>
    <row r="902" spans="1:5" ht="36.950000000000003" customHeight="1" thickBot="1" x14ac:dyDescent="0.3">
      <c r="A902" s="56"/>
      <c r="B902" s="56"/>
      <c r="C902" s="4"/>
      <c r="D902" s="4"/>
      <c r="E902" s="8"/>
    </row>
    <row r="903" spans="1:5" ht="36.950000000000003" customHeight="1" thickBot="1" x14ac:dyDescent="0.3">
      <c r="A903" s="56"/>
      <c r="B903" s="56"/>
      <c r="C903" s="4"/>
      <c r="D903" s="4"/>
      <c r="E903" s="8"/>
    </row>
    <row r="904" spans="1:5" ht="36.950000000000003" customHeight="1" thickBot="1" x14ac:dyDescent="0.3">
      <c r="A904" s="56"/>
      <c r="B904" s="56"/>
      <c r="C904" s="4"/>
      <c r="D904" s="4"/>
      <c r="E904" s="8"/>
    </row>
    <row r="905" spans="1:5" ht="36.950000000000003" customHeight="1" thickBot="1" x14ac:dyDescent="0.3">
      <c r="A905" s="56"/>
      <c r="B905" s="56"/>
      <c r="C905" s="4"/>
      <c r="D905" s="4"/>
      <c r="E905" s="8"/>
    </row>
    <row r="906" spans="1:5" ht="36.950000000000003" customHeight="1" thickBot="1" x14ac:dyDescent="0.3">
      <c r="A906" s="56"/>
      <c r="B906" s="56"/>
      <c r="C906" s="4"/>
      <c r="D906" s="4"/>
      <c r="E906" s="8"/>
    </row>
    <row r="907" spans="1:5" ht="36.950000000000003" customHeight="1" thickBot="1" x14ac:dyDescent="0.3">
      <c r="A907" s="56"/>
      <c r="B907" s="56"/>
      <c r="C907" s="4"/>
      <c r="D907" s="4"/>
      <c r="E907" s="8"/>
    </row>
    <row r="908" spans="1:5" ht="36.950000000000003" customHeight="1" thickBot="1" x14ac:dyDescent="0.3">
      <c r="A908" s="56"/>
      <c r="B908" s="56"/>
      <c r="C908" s="4"/>
      <c r="D908" s="4"/>
      <c r="E908" s="8"/>
    </row>
    <row r="909" spans="1:5" ht="36.950000000000003" customHeight="1" thickBot="1" x14ac:dyDescent="0.3">
      <c r="A909" s="56"/>
      <c r="B909" s="56"/>
      <c r="C909" s="4"/>
      <c r="D909" s="4"/>
      <c r="E909" s="8"/>
    </row>
    <row r="910" spans="1:5" ht="36.950000000000003" customHeight="1" thickBot="1" x14ac:dyDescent="0.3">
      <c r="A910" s="56"/>
      <c r="B910" s="56"/>
      <c r="C910" s="4"/>
      <c r="D910" s="4"/>
      <c r="E910" s="8"/>
    </row>
    <row r="911" spans="1:5" ht="36.950000000000003" customHeight="1" thickBot="1" x14ac:dyDescent="0.3">
      <c r="A911" s="56"/>
      <c r="B911" s="56"/>
      <c r="C911" s="4"/>
      <c r="D911" s="4"/>
      <c r="E911" s="8"/>
    </row>
    <row r="912" spans="1:5" ht="36.950000000000003" customHeight="1" thickBot="1" x14ac:dyDescent="0.3">
      <c r="A912" s="56"/>
      <c r="B912" s="56"/>
      <c r="C912" s="4"/>
      <c r="D912" s="4"/>
      <c r="E912" s="8"/>
    </row>
    <row r="913" spans="1:5" ht="36.950000000000003" customHeight="1" thickBot="1" x14ac:dyDescent="0.3">
      <c r="A913" s="56"/>
      <c r="B913" s="56"/>
      <c r="C913" s="4"/>
      <c r="D913" s="4"/>
      <c r="E913" s="8"/>
    </row>
    <row r="914" spans="1:5" ht="36.950000000000003" customHeight="1" thickBot="1" x14ac:dyDescent="0.3">
      <c r="A914" s="56"/>
      <c r="B914" s="56"/>
      <c r="C914" s="4"/>
      <c r="D914" s="4"/>
      <c r="E914" s="8"/>
    </row>
    <row r="915" spans="1:5" ht="36.950000000000003" customHeight="1" thickBot="1" x14ac:dyDescent="0.3">
      <c r="A915" s="56"/>
      <c r="B915" s="56"/>
      <c r="C915" s="4"/>
      <c r="D915" s="4"/>
      <c r="E915" s="8"/>
    </row>
    <row r="916" spans="1:5" ht="36.950000000000003" customHeight="1" thickBot="1" x14ac:dyDescent="0.3">
      <c r="A916" s="56"/>
      <c r="B916" s="56"/>
      <c r="C916" s="4"/>
      <c r="D916" s="4"/>
      <c r="E916" s="8"/>
    </row>
    <row r="917" spans="1:5" ht="36.950000000000003" customHeight="1" thickBot="1" x14ac:dyDescent="0.3">
      <c r="A917" s="56"/>
      <c r="B917" s="56"/>
      <c r="C917" s="4"/>
      <c r="D917" s="4"/>
      <c r="E917" s="8"/>
    </row>
    <row r="918" spans="1:5" ht="36.950000000000003" customHeight="1" thickBot="1" x14ac:dyDescent="0.3">
      <c r="A918" s="56"/>
      <c r="B918" s="56"/>
      <c r="C918" s="4"/>
      <c r="D918" s="4"/>
      <c r="E918" s="8"/>
    </row>
    <row r="919" spans="1:5" ht="36.950000000000003" customHeight="1" thickBot="1" x14ac:dyDescent="0.3">
      <c r="A919" s="56"/>
      <c r="B919" s="56"/>
      <c r="C919" s="4"/>
      <c r="D919" s="4"/>
      <c r="E919" s="8"/>
    </row>
    <row r="920" spans="1:5" ht="36.950000000000003" customHeight="1" thickBot="1" x14ac:dyDescent="0.3">
      <c r="A920" s="56"/>
      <c r="B920" s="56"/>
      <c r="C920" s="4"/>
      <c r="D920" s="4"/>
      <c r="E920" s="8"/>
    </row>
    <row r="921" spans="1:5" ht="36.950000000000003" customHeight="1" thickBot="1" x14ac:dyDescent="0.3">
      <c r="A921" s="56"/>
      <c r="B921" s="56"/>
      <c r="C921" s="4"/>
      <c r="D921" s="4"/>
      <c r="E921" s="8"/>
    </row>
    <row r="922" spans="1:5" ht="36.950000000000003" customHeight="1" thickBot="1" x14ac:dyDescent="0.3">
      <c r="A922" s="56"/>
      <c r="B922" s="56"/>
      <c r="C922" s="4"/>
      <c r="D922" s="4"/>
      <c r="E922" s="8"/>
    </row>
    <row r="923" spans="1:5" ht="36.950000000000003" customHeight="1" thickBot="1" x14ac:dyDescent="0.3">
      <c r="A923" s="56"/>
      <c r="B923" s="56"/>
      <c r="C923" s="4"/>
      <c r="D923" s="4"/>
      <c r="E923" s="8"/>
    </row>
    <row r="924" spans="1:5" ht="36.950000000000003" customHeight="1" thickBot="1" x14ac:dyDescent="0.3">
      <c r="A924" s="56"/>
      <c r="B924" s="56"/>
      <c r="C924" s="4"/>
      <c r="D924" s="4"/>
      <c r="E924" s="8"/>
    </row>
    <row r="925" spans="1:5" ht="36.950000000000003" customHeight="1" thickBot="1" x14ac:dyDescent="0.3">
      <c r="A925" s="56"/>
      <c r="B925" s="56"/>
      <c r="C925" s="4"/>
      <c r="D925" s="4"/>
      <c r="E925" s="8"/>
    </row>
    <row r="926" spans="1:5" ht="36.950000000000003" customHeight="1" thickBot="1" x14ac:dyDescent="0.3">
      <c r="A926" s="56"/>
      <c r="B926" s="56"/>
      <c r="C926" s="4"/>
      <c r="D926" s="4"/>
      <c r="E926" s="8"/>
    </row>
    <row r="927" spans="1:5" ht="36.950000000000003" customHeight="1" thickBot="1" x14ac:dyDescent="0.3">
      <c r="A927" s="56"/>
      <c r="B927" s="56"/>
      <c r="C927" s="4"/>
      <c r="D927" s="4"/>
      <c r="E927" s="8"/>
    </row>
    <row r="928" spans="1:5" ht="36.950000000000003" customHeight="1" thickBot="1" x14ac:dyDescent="0.3">
      <c r="A928" s="56"/>
      <c r="B928" s="56"/>
      <c r="C928" s="4"/>
      <c r="D928" s="4"/>
      <c r="E928" s="8"/>
    </row>
    <row r="929" spans="1:5" ht="36.950000000000003" customHeight="1" thickBot="1" x14ac:dyDescent="0.3">
      <c r="A929" s="56"/>
      <c r="B929" s="56"/>
      <c r="C929" s="4"/>
      <c r="D929" s="4"/>
      <c r="E929" s="8"/>
    </row>
    <row r="930" spans="1:5" ht="36.950000000000003" customHeight="1" thickBot="1" x14ac:dyDescent="0.3">
      <c r="A930" s="56"/>
      <c r="B930" s="56"/>
      <c r="C930" s="4"/>
      <c r="D930" s="4"/>
      <c r="E930" s="8"/>
    </row>
    <row r="931" spans="1:5" ht="36.950000000000003" customHeight="1" thickBot="1" x14ac:dyDescent="0.3">
      <c r="A931" s="56"/>
      <c r="B931" s="56"/>
      <c r="C931" s="4"/>
      <c r="D931" s="4"/>
      <c r="E931" s="8"/>
    </row>
    <row r="932" spans="1:5" ht="36.950000000000003" customHeight="1" thickBot="1" x14ac:dyDescent="0.3">
      <c r="A932" s="56"/>
      <c r="B932" s="56"/>
      <c r="C932" s="4"/>
      <c r="D932" s="4"/>
      <c r="E932" s="8"/>
    </row>
    <row r="933" spans="1:5" ht="36.950000000000003" customHeight="1" thickBot="1" x14ac:dyDescent="0.3">
      <c r="A933" s="56"/>
      <c r="B933" s="56"/>
      <c r="C933" s="4"/>
      <c r="D933" s="4"/>
      <c r="E933" s="8"/>
    </row>
    <row r="934" spans="1:5" ht="36.950000000000003" customHeight="1" thickBot="1" x14ac:dyDescent="0.3">
      <c r="A934" s="56"/>
      <c r="B934" s="56"/>
      <c r="C934" s="4"/>
      <c r="D934" s="4"/>
      <c r="E934" s="8"/>
    </row>
    <row r="935" spans="1:5" ht="36.950000000000003" customHeight="1" thickBot="1" x14ac:dyDescent="0.3">
      <c r="A935" s="56"/>
      <c r="B935" s="56"/>
      <c r="C935" s="4"/>
      <c r="D935" s="4"/>
      <c r="E935" s="8"/>
    </row>
    <row r="936" spans="1:5" ht="36.950000000000003" customHeight="1" thickBot="1" x14ac:dyDescent="0.3">
      <c r="A936" s="56"/>
      <c r="B936" s="56"/>
      <c r="C936" s="4"/>
      <c r="D936" s="4"/>
      <c r="E936" s="8"/>
    </row>
    <row r="937" spans="1:5" ht="36.950000000000003" customHeight="1" thickBot="1" x14ac:dyDescent="0.3">
      <c r="A937" s="56"/>
      <c r="B937" s="56"/>
      <c r="C937" s="4"/>
      <c r="D937" s="4"/>
      <c r="E937" s="8"/>
    </row>
    <row r="938" spans="1:5" ht="36.950000000000003" customHeight="1" thickBot="1" x14ac:dyDescent="0.3">
      <c r="A938" s="56"/>
      <c r="B938" s="56"/>
      <c r="C938" s="4"/>
      <c r="D938" s="4"/>
      <c r="E938" s="8"/>
    </row>
    <row r="939" spans="1:5" ht="36.950000000000003" customHeight="1" thickBot="1" x14ac:dyDescent="0.3">
      <c r="A939" s="56"/>
      <c r="B939" s="56"/>
      <c r="C939" s="4"/>
      <c r="D939" s="4"/>
      <c r="E939" s="8"/>
    </row>
    <row r="940" spans="1:5" ht="36.950000000000003" customHeight="1" thickBot="1" x14ac:dyDescent="0.3">
      <c r="A940" s="56"/>
      <c r="B940" s="56"/>
      <c r="C940" s="4"/>
      <c r="D940" s="4"/>
      <c r="E940" s="8"/>
    </row>
    <row r="941" spans="1:5" ht="36.950000000000003" customHeight="1" thickBot="1" x14ac:dyDescent="0.3">
      <c r="A941" s="56"/>
      <c r="B941" s="56"/>
      <c r="C941" s="4"/>
      <c r="D941" s="4"/>
      <c r="E941" s="8"/>
    </row>
    <row r="942" spans="1:5" ht="36.950000000000003" customHeight="1" thickBot="1" x14ac:dyDescent="0.3">
      <c r="A942" s="56"/>
      <c r="B942" s="56"/>
      <c r="C942" s="4"/>
      <c r="D942" s="4"/>
      <c r="E942" s="8"/>
    </row>
    <row r="943" spans="1:5" ht="36.950000000000003" customHeight="1" thickBot="1" x14ac:dyDescent="0.3">
      <c r="A943" s="56"/>
      <c r="B943" s="56"/>
      <c r="C943" s="4"/>
      <c r="D943" s="4"/>
      <c r="E943" s="8"/>
    </row>
    <row r="944" spans="1:5" ht="36.950000000000003" customHeight="1" thickBot="1" x14ac:dyDescent="0.3">
      <c r="A944" s="56"/>
      <c r="B944" s="56"/>
      <c r="C944" s="4"/>
      <c r="D944" s="4"/>
      <c r="E944" s="8"/>
    </row>
    <row r="945" spans="1:5" ht="36.950000000000003" customHeight="1" thickBot="1" x14ac:dyDescent="0.3">
      <c r="A945" s="56"/>
      <c r="B945" s="56"/>
      <c r="C945" s="4"/>
      <c r="D945" s="4"/>
      <c r="E945" s="8"/>
    </row>
    <row r="946" spans="1:5" ht="36.950000000000003" customHeight="1" thickBot="1" x14ac:dyDescent="0.3">
      <c r="A946" s="56"/>
      <c r="B946" s="56"/>
      <c r="C946" s="4"/>
      <c r="D946" s="4"/>
      <c r="E946" s="8"/>
    </row>
    <row r="947" spans="1:5" ht="36.950000000000003" customHeight="1" thickBot="1" x14ac:dyDescent="0.3">
      <c r="A947" s="56"/>
      <c r="B947" s="56"/>
      <c r="C947" s="4"/>
      <c r="D947" s="4"/>
      <c r="E947" s="8"/>
    </row>
    <row r="948" spans="1:5" ht="36.950000000000003" customHeight="1" thickBot="1" x14ac:dyDescent="0.3">
      <c r="A948" s="56"/>
      <c r="B948" s="56"/>
      <c r="C948" s="4"/>
      <c r="D948" s="4"/>
      <c r="E948" s="8"/>
    </row>
    <row r="949" spans="1:5" ht="36.950000000000003" customHeight="1" thickBot="1" x14ac:dyDescent="0.3">
      <c r="A949" s="56"/>
      <c r="B949" s="56"/>
      <c r="C949" s="4"/>
      <c r="D949" s="4"/>
      <c r="E949" s="8"/>
    </row>
    <row r="950" spans="1:5" ht="36.950000000000003" customHeight="1" thickBot="1" x14ac:dyDescent="0.3">
      <c r="A950" s="56"/>
      <c r="B950" s="56"/>
      <c r="C950" s="4"/>
      <c r="D950" s="4"/>
      <c r="E950" s="8"/>
    </row>
    <row r="951" spans="1:5" ht="36.950000000000003" customHeight="1" thickBot="1" x14ac:dyDescent="0.3">
      <c r="A951" s="56"/>
      <c r="B951" s="56"/>
      <c r="C951" s="4"/>
      <c r="D951" s="4"/>
      <c r="E951" s="8"/>
    </row>
    <row r="952" spans="1:5" ht="36.950000000000003" customHeight="1" thickBot="1" x14ac:dyDescent="0.3">
      <c r="A952" s="56"/>
      <c r="B952" s="56"/>
      <c r="C952" s="4"/>
      <c r="D952" s="4"/>
      <c r="E952" s="8"/>
    </row>
    <row r="953" spans="1:5" ht="36.950000000000003" customHeight="1" thickBot="1" x14ac:dyDescent="0.3">
      <c r="A953" s="56"/>
      <c r="B953" s="56"/>
      <c r="C953" s="4"/>
      <c r="D953" s="4"/>
      <c r="E953" s="8"/>
    </row>
    <row r="954" spans="1:5" ht="36.950000000000003" customHeight="1" thickBot="1" x14ac:dyDescent="0.3">
      <c r="A954" s="56"/>
      <c r="B954" s="56"/>
      <c r="C954" s="4"/>
      <c r="D954" s="4"/>
      <c r="E954" s="8"/>
    </row>
    <row r="955" spans="1:5" ht="36.950000000000003" customHeight="1" thickBot="1" x14ac:dyDescent="0.3">
      <c r="A955" s="56"/>
      <c r="B955" s="56"/>
      <c r="C955" s="4"/>
      <c r="D955" s="4"/>
      <c r="E955" s="8"/>
    </row>
    <row r="956" spans="1:5" ht="36.950000000000003" customHeight="1" thickBot="1" x14ac:dyDescent="0.3">
      <c r="A956" s="56"/>
      <c r="B956" s="56"/>
      <c r="C956" s="4"/>
      <c r="D956" s="4"/>
      <c r="E956" s="8"/>
    </row>
    <row r="957" spans="1:5" ht="36.950000000000003" customHeight="1" thickBot="1" x14ac:dyDescent="0.3">
      <c r="A957" s="56"/>
      <c r="B957" s="56"/>
      <c r="C957" s="4"/>
      <c r="D957" s="4"/>
      <c r="E957" s="8"/>
    </row>
    <row r="958" spans="1:5" ht="36.950000000000003" customHeight="1" thickBot="1" x14ac:dyDescent="0.3">
      <c r="A958" s="56"/>
      <c r="B958" s="56"/>
      <c r="C958" s="4"/>
      <c r="D958" s="4"/>
      <c r="E958" s="8"/>
    </row>
    <row r="959" spans="1:5" ht="36.950000000000003" customHeight="1" thickBot="1" x14ac:dyDescent="0.3">
      <c r="A959" s="56"/>
      <c r="B959" s="56"/>
      <c r="C959" s="4"/>
      <c r="D959" s="4"/>
      <c r="E959" s="8"/>
    </row>
    <row r="960" spans="1:5" ht="36.950000000000003" customHeight="1" thickBot="1" x14ac:dyDescent="0.3">
      <c r="A960" s="56"/>
      <c r="B960" s="56"/>
      <c r="C960" s="4"/>
      <c r="D960" s="4"/>
      <c r="E960" s="8"/>
    </row>
    <row r="961" spans="1:5" ht="36.950000000000003" customHeight="1" thickBot="1" x14ac:dyDescent="0.3">
      <c r="A961" s="56"/>
      <c r="B961" s="56"/>
      <c r="C961" s="4"/>
      <c r="D961" s="4"/>
      <c r="E961" s="8"/>
    </row>
    <row r="962" spans="1:5" ht="36.950000000000003" customHeight="1" thickBot="1" x14ac:dyDescent="0.3">
      <c r="A962" s="56"/>
      <c r="B962" s="56"/>
      <c r="C962" s="4"/>
      <c r="D962" s="4"/>
      <c r="E962" s="8"/>
    </row>
    <row r="963" spans="1:5" ht="36.950000000000003" customHeight="1" thickBot="1" x14ac:dyDescent="0.3">
      <c r="A963" s="56"/>
      <c r="B963" s="56"/>
      <c r="C963" s="4"/>
      <c r="D963" s="4"/>
      <c r="E963" s="8"/>
    </row>
    <row r="964" spans="1:5" ht="36.950000000000003" customHeight="1" thickBot="1" x14ac:dyDescent="0.3">
      <c r="A964" s="56"/>
      <c r="B964" s="56"/>
      <c r="C964" s="4"/>
      <c r="D964" s="4"/>
      <c r="E964" s="8"/>
    </row>
    <row r="965" spans="1:5" ht="36.950000000000003" customHeight="1" thickBot="1" x14ac:dyDescent="0.3">
      <c r="A965" s="56"/>
      <c r="B965" s="56"/>
      <c r="C965" s="4"/>
      <c r="D965" s="4"/>
      <c r="E965" s="8"/>
    </row>
    <row r="966" spans="1:5" ht="36.950000000000003" customHeight="1" thickBot="1" x14ac:dyDescent="0.3">
      <c r="A966" s="56"/>
      <c r="B966" s="56"/>
      <c r="C966" s="4"/>
      <c r="D966" s="4"/>
      <c r="E966" s="8"/>
    </row>
    <row r="967" spans="1:5" ht="36.950000000000003" customHeight="1" thickBot="1" x14ac:dyDescent="0.3">
      <c r="A967" s="56"/>
      <c r="B967" s="56"/>
      <c r="C967" s="4"/>
      <c r="D967" s="4"/>
      <c r="E967" s="8"/>
    </row>
    <row r="968" spans="1:5" ht="36.950000000000003" customHeight="1" thickBot="1" x14ac:dyDescent="0.3">
      <c r="A968" s="56"/>
      <c r="B968" s="56"/>
      <c r="C968" s="4"/>
      <c r="D968" s="4"/>
      <c r="E968" s="8"/>
    </row>
    <row r="969" spans="1:5" ht="36.950000000000003" customHeight="1" thickBot="1" x14ac:dyDescent="0.3">
      <c r="A969" s="56"/>
      <c r="B969" s="56"/>
      <c r="C969" s="4"/>
      <c r="D969" s="4"/>
      <c r="E969" s="8"/>
    </row>
    <row r="970" spans="1:5" ht="36.950000000000003" customHeight="1" thickBot="1" x14ac:dyDescent="0.3">
      <c r="A970" s="56"/>
      <c r="B970" s="56"/>
      <c r="C970" s="4"/>
      <c r="D970" s="4"/>
      <c r="E970" s="8"/>
    </row>
    <row r="971" spans="1:5" ht="36.950000000000003" customHeight="1" thickBot="1" x14ac:dyDescent="0.3">
      <c r="A971" s="56"/>
      <c r="B971" s="56"/>
      <c r="C971" s="4"/>
      <c r="D971" s="4"/>
      <c r="E971" s="8"/>
    </row>
    <row r="972" spans="1:5" ht="36.950000000000003" customHeight="1" thickBot="1" x14ac:dyDescent="0.3">
      <c r="A972" s="56"/>
      <c r="B972" s="56"/>
      <c r="C972" s="4"/>
      <c r="D972" s="4"/>
      <c r="E972" s="8"/>
    </row>
    <row r="973" spans="1:5" ht="36.950000000000003" customHeight="1" thickBot="1" x14ac:dyDescent="0.3">
      <c r="A973" s="56"/>
      <c r="B973" s="56"/>
      <c r="C973" s="4"/>
      <c r="D973" s="4"/>
      <c r="E973" s="8"/>
    </row>
    <row r="974" spans="1:5" ht="36.950000000000003" customHeight="1" thickBot="1" x14ac:dyDescent="0.3">
      <c r="A974" s="56"/>
      <c r="B974" s="56"/>
      <c r="C974" s="4"/>
      <c r="D974" s="4"/>
      <c r="E974" s="8"/>
    </row>
    <row r="975" spans="1:5" ht="36.950000000000003" customHeight="1" thickBot="1" x14ac:dyDescent="0.3">
      <c r="A975" s="56"/>
      <c r="B975" s="56"/>
      <c r="C975" s="4"/>
      <c r="D975" s="4"/>
      <c r="E975" s="8"/>
    </row>
    <row r="976" spans="1:5" ht="36.950000000000003" customHeight="1" thickBot="1" x14ac:dyDescent="0.3">
      <c r="A976" s="56"/>
      <c r="B976" s="56"/>
      <c r="C976" s="4"/>
      <c r="D976" s="4"/>
      <c r="E976" s="8"/>
    </row>
    <row r="977" spans="1:5" ht="36.950000000000003" customHeight="1" thickBot="1" x14ac:dyDescent="0.3">
      <c r="A977" s="56"/>
      <c r="B977" s="56"/>
      <c r="C977" s="4"/>
      <c r="D977" s="4"/>
      <c r="E977" s="8"/>
    </row>
    <row r="978" spans="1:5" ht="36.950000000000003" customHeight="1" thickBot="1" x14ac:dyDescent="0.3">
      <c r="A978" s="56"/>
      <c r="B978" s="56"/>
      <c r="C978" s="4"/>
      <c r="D978" s="4"/>
      <c r="E978" s="8"/>
    </row>
    <row r="979" spans="1:5" ht="36.950000000000003" customHeight="1" thickBot="1" x14ac:dyDescent="0.3">
      <c r="A979" s="56"/>
      <c r="B979" s="56"/>
      <c r="C979" s="4"/>
      <c r="D979" s="4"/>
      <c r="E979" s="8"/>
    </row>
    <row r="980" spans="1:5" ht="36.950000000000003" customHeight="1" thickBot="1" x14ac:dyDescent="0.3">
      <c r="A980" s="56"/>
      <c r="B980" s="56"/>
      <c r="C980" s="4"/>
      <c r="D980" s="4"/>
      <c r="E980" s="8"/>
    </row>
    <row r="981" spans="1:5" ht="36.950000000000003" customHeight="1" thickBot="1" x14ac:dyDescent="0.3">
      <c r="A981" s="56"/>
      <c r="B981" s="56"/>
      <c r="C981" s="4"/>
      <c r="D981" s="4"/>
      <c r="E981" s="8"/>
    </row>
    <row r="982" spans="1:5" ht="36.950000000000003" customHeight="1" thickBot="1" x14ac:dyDescent="0.3">
      <c r="A982" s="56"/>
      <c r="B982" s="56"/>
      <c r="C982" s="4"/>
      <c r="D982" s="4"/>
      <c r="E982" s="8"/>
    </row>
  </sheetData>
  <autoFilter ref="A1:G82" xr:uid="{0573A747-5669-45D1-ABAD-175264B5C2CC}"/>
  <conditionalFormatting sqref="J1:J91 J118:J1048576">
    <cfRule type="duplicateValues" dxfId="10" priority="9"/>
  </conditionalFormatting>
  <conditionalFormatting sqref="F1:F91 F119:F1048576">
    <cfRule type="duplicateValues" dxfId="9" priority="8"/>
  </conditionalFormatting>
  <conditionalFormatting sqref="H3:H91">
    <cfRule type="duplicateValues" dxfId="8" priority="6"/>
  </conditionalFormatting>
  <conditionalFormatting sqref="H119">
    <cfRule type="duplicateValues" dxfId="7" priority="5"/>
  </conditionalFormatting>
  <conditionalFormatting sqref="F92:F115">
    <cfRule type="duplicateValues" dxfId="6" priority="4"/>
  </conditionalFormatting>
  <conditionalFormatting sqref="F117">
    <cfRule type="duplicateValues" dxfId="5" priority="3"/>
  </conditionalFormatting>
  <conditionalFormatting sqref="H92:H115">
    <cfRule type="duplicateValues" dxfId="4" priority="2"/>
  </conditionalFormatting>
  <conditionalFormatting sqref="H117">
    <cfRule type="duplicateValues" dxfId="3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3575C-B8D2-45BF-9743-64E448A66C1D}">
  <sheetPr codeName="Sheet3"/>
  <dimension ref="A1:D131"/>
  <sheetViews>
    <sheetView topLeftCell="A108" workbookViewId="0">
      <selection activeCell="D116" sqref="D116"/>
    </sheetView>
  </sheetViews>
  <sheetFormatPr defaultRowHeight="15" x14ac:dyDescent="0.25"/>
  <cols>
    <col min="1" max="1" width="29.5703125" customWidth="1"/>
    <col min="2" max="3" width="9"/>
  </cols>
  <sheetData>
    <row r="1" spans="1:4" ht="132.75" thickBot="1" x14ac:dyDescent="0.3">
      <c r="A1" s="18" t="s">
        <v>1224</v>
      </c>
      <c r="B1" s="20" t="s">
        <v>1225</v>
      </c>
      <c r="C1" s="59"/>
      <c r="D1" t="str" cm="1">
        <f t="array" ref="D1">BuildCounter(A1)</f>
        <v>1</v>
      </c>
    </row>
    <row r="2" spans="1:4" ht="96.75" thickBot="1" x14ac:dyDescent="0.3">
      <c r="A2" s="21" t="s">
        <v>1226</v>
      </c>
      <c r="B2" s="23" t="s">
        <v>1227</v>
      </c>
      <c r="C2" s="59"/>
      <c r="D2" t="str" cm="1">
        <f t="array" ref="D2">BuildCounter(A2)</f>
        <v>1.1</v>
      </c>
    </row>
    <row r="3" spans="1:4" ht="48.75" thickBot="1" x14ac:dyDescent="0.3">
      <c r="A3" s="21" t="s">
        <v>1228</v>
      </c>
      <c r="B3" s="23" t="s">
        <v>1229</v>
      </c>
      <c r="C3" s="59"/>
      <c r="D3" t="str" cm="1">
        <f t="array" ref="D3">BuildCounter(A3)</f>
        <v>1.2</v>
      </c>
    </row>
    <row r="4" spans="1:4" ht="108.75" thickBot="1" x14ac:dyDescent="0.3">
      <c r="A4" s="27" t="s">
        <v>1230</v>
      </c>
      <c r="B4" s="28" t="s">
        <v>1231</v>
      </c>
      <c r="C4" s="59"/>
      <c r="D4" t="str" cm="1">
        <f t="array" ref="D4">BuildCounter(A4)</f>
        <v>2</v>
      </c>
    </row>
    <row r="5" spans="1:4" ht="24.75" thickBot="1" x14ac:dyDescent="0.3">
      <c r="A5" s="21" t="s">
        <v>1232</v>
      </c>
      <c r="B5" s="23" t="s">
        <v>1233</v>
      </c>
      <c r="C5" s="59"/>
      <c r="D5" t="str" cm="1">
        <f t="array" ref="D5">BuildCounter(A5)</f>
        <v>2.1</v>
      </c>
    </row>
    <row r="6" spans="1:4" ht="24.75" thickBot="1" x14ac:dyDescent="0.3">
      <c r="A6" s="21" t="s">
        <v>1234</v>
      </c>
      <c r="B6" s="23" t="s">
        <v>1235</v>
      </c>
      <c r="C6" s="59"/>
      <c r="D6" t="str" cm="1">
        <f t="array" ref="D6">BuildCounter(A6)</f>
        <v>2.2</v>
      </c>
    </row>
    <row r="7" spans="1:4" ht="144.75" thickBot="1" x14ac:dyDescent="0.3">
      <c r="A7" s="27" t="s">
        <v>1236</v>
      </c>
      <c r="B7" s="28" t="s">
        <v>1237</v>
      </c>
      <c r="C7" s="59"/>
      <c r="D7" t="str" cm="1">
        <f t="array" ref="D7">BuildCounter(A7)</f>
        <v>3</v>
      </c>
    </row>
    <row r="8" spans="1:4" ht="24.75" thickBot="1" x14ac:dyDescent="0.3">
      <c r="A8" s="21" t="s">
        <v>1238</v>
      </c>
      <c r="B8" s="23" t="s">
        <v>1233</v>
      </c>
      <c r="C8" s="59"/>
      <c r="D8" t="str" cm="1">
        <f t="array" ref="D8">BuildCounter(A8)</f>
        <v>3.1</v>
      </c>
    </row>
    <row r="9" spans="1:4" ht="24.75" thickBot="1" x14ac:dyDescent="0.3">
      <c r="A9" s="21" t="s">
        <v>1239</v>
      </c>
      <c r="B9" s="23" t="s">
        <v>1235</v>
      </c>
      <c r="C9" s="59"/>
      <c r="D9" t="str" cm="1">
        <f t="array" ref="D9">BuildCounter(A9)</f>
        <v>3.2</v>
      </c>
    </row>
    <row r="10" spans="1:4" ht="108.75" thickBot="1" x14ac:dyDescent="0.3">
      <c r="A10" s="27" t="s">
        <v>1252</v>
      </c>
      <c r="B10" s="28" t="s">
        <v>1253</v>
      </c>
      <c r="C10" s="59"/>
      <c r="D10" t="str" cm="1">
        <f t="array" ref="D10">BuildCounter(A10)</f>
        <v>4</v>
      </c>
    </row>
    <row r="11" spans="1:4" ht="15.75" thickBot="1" x14ac:dyDescent="0.3">
      <c r="A11" s="21" t="s">
        <v>1254</v>
      </c>
      <c r="B11" s="23" t="s">
        <v>1250</v>
      </c>
      <c r="C11" s="59"/>
      <c r="D11" t="str" cm="1">
        <f t="array" ref="D11">BuildCounter(A11)</f>
        <v>4.1</v>
      </c>
    </row>
    <row r="12" spans="1:4" ht="24.75" thickBot="1" x14ac:dyDescent="0.3">
      <c r="A12" s="21" t="s">
        <v>1255</v>
      </c>
      <c r="B12" s="23" t="s">
        <v>1251</v>
      </c>
      <c r="C12" s="59"/>
      <c r="D12" t="str" cm="1">
        <f t="array" ref="D12">BuildCounter(A12)</f>
        <v>4.2</v>
      </c>
    </row>
    <row r="13" spans="1:4" ht="72.75" thickBot="1" x14ac:dyDescent="0.3">
      <c r="A13" s="21" t="s">
        <v>1256</v>
      </c>
      <c r="B13" s="23" t="s">
        <v>1257</v>
      </c>
      <c r="C13" s="59"/>
      <c r="D13" t="str" cm="1">
        <f t="array" ref="D13">BuildCounter(A13)</f>
        <v>4.3</v>
      </c>
    </row>
    <row r="14" spans="1:4" ht="108.75" thickBot="1" x14ac:dyDescent="0.3">
      <c r="A14" s="27" t="s">
        <v>1258</v>
      </c>
      <c r="B14" s="28" t="s">
        <v>1259</v>
      </c>
      <c r="C14" s="59"/>
      <c r="D14" t="str" cm="1">
        <f t="array" ref="D14">BuildCounter(A14)</f>
        <v>5</v>
      </c>
    </row>
    <row r="15" spans="1:4" ht="24.75" thickBot="1" x14ac:dyDescent="0.3">
      <c r="A15" s="21" t="s">
        <v>1260</v>
      </c>
      <c r="B15" s="23" t="s">
        <v>1261</v>
      </c>
      <c r="C15" s="59"/>
      <c r="D15" t="str" cm="1">
        <f t="array" ref="D15">BuildCounter(A15)</f>
        <v>5.1</v>
      </c>
    </row>
    <row r="16" spans="1:4" ht="24.75" thickBot="1" x14ac:dyDescent="0.3">
      <c r="A16" s="21" t="s">
        <v>1262</v>
      </c>
      <c r="B16" s="23" t="s">
        <v>1263</v>
      </c>
      <c r="C16" s="59"/>
      <c r="D16" t="str" cm="1">
        <f t="array" ref="D16">BuildCounter(A16)</f>
        <v>5.2</v>
      </c>
    </row>
    <row r="17" spans="1:4" ht="24.75" thickBot="1" x14ac:dyDescent="0.3">
      <c r="A17" s="21" t="s">
        <v>1264</v>
      </c>
      <c r="B17" s="23" t="s">
        <v>1265</v>
      </c>
      <c r="C17" s="59"/>
      <c r="D17" t="str" cm="1">
        <f t="array" ref="D17">BuildCounter(A17)</f>
        <v>5.3</v>
      </c>
    </row>
    <row r="18" spans="1:4" ht="108.75" thickBot="1" x14ac:dyDescent="0.3">
      <c r="A18" s="27" t="s">
        <v>1266</v>
      </c>
      <c r="B18" s="28" t="s">
        <v>1267</v>
      </c>
      <c r="C18" s="59"/>
      <c r="D18" t="str" cm="1">
        <f t="array" ref="D18">BuildCounter(A18)</f>
        <v>6</v>
      </c>
    </row>
    <row r="19" spans="1:4" ht="24.75" thickBot="1" x14ac:dyDescent="0.3">
      <c r="A19" s="21" t="s">
        <v>1268</v>
      </c>
      <c r="B19" s="23" t="s">
        <v>1269</v>
      </c>
      <c r="C19" s="59"/>
      <c r="D19" t="str" cm="1">
        <f t="array" ref="D19">BuildCounter(A19)</f>
        <v>6.1</v>
      </c>
    </row>
    <row r="20" spans="1:4" ht="24.75" thickBot="1" x14ac:dyDescent="0.3">
      <c r="A20" s="21" t="s">
        <v>1270</v>
      </c>
      <c r="B20" s="23" t="s">
        <v>1271</v>
      </c>
      <c r="C20" s="59"/>
      <c r="D20" t="str" cm="1">
        <f t="array" ref="D20">BuildCounter(A20)</f>
        <v>6.2</v>
      </c>
    </row>
    <row r="21" spans="1:4" ht="108.75" thickBot="1" x14ac:dyDescent="0.3">
      <c r="A21" s="27" t="s">
        <v>1272</v>
      </c>
      <c r="B21" s="28" t="s">
        <v>1273</v>
      </c>
      <c r="C21" s="59"/>
      <c r="D21" t="str" cm="1">
        <f t="array" ref="D21">BuildCounter(A21)</f>
        <v>7</v>
      </c>
    </row>
    <row r="22" spans="1:4" ht="15.75" thickBot="1" x14ac:dyDescent="0.3">
      <c r="A22" s="21" t="s">
        <v>1274</v>
      </c>
      <c r="B22" s="23" t="s">
        <v>1275</v>
      </c>
      <c r="C22" s="59"/>
      <c r="D22" t="str" cm="1">
        <f t="array" ref="D22">BuildCounter(A22)</f>
        <v>7.1</v>
      </c>
    </row>
    <row r="23" spans="1:4" ht="15.75" thickBot="1" x14ac:dyDescent="0.3">
      <c r="A23" s="21" t="s">
        <v>1276</v>
      </c>
      <c r="B23" s="23" t="s">
        <v>1277</v>
      </c>
      <c r="C23" s="59"/>
      <c r="D23" t="str" cm="1">
        <f t="array" ref="D23">BuildCounter(A23)</f>
        <v>7.2</v>
      </c>
    </row>
    <row r="24" spans="1:4" ht="108.75" thickBot="1" x14ac:dyDescent="0.3">
      <c r="A24" s="27" t="s">
        <v>1278</v>
      </c>
      <c r="B24" s="28" t="s">
        <v>1279</v>
      </c>
      <c r="C24" s="60"/>
      <c r="D24" t="str" cm="1">
        <f t="array" ref="D24">BuildCounter(A24)</f>
        <v>8</v>
      </c>
    </row>
    <row r="25" spans="1:4" ht="24.75" thickBot="1" x14ac:dyDescent="0.3">
      <c r="A25" s="21" t="s">
        <v>1280</v>
      </c>
      <c r="B25" s="23" t="s">
        <v>1233</v>
      </c>
      <c r="C25" s="61"/>
      <c r="D25" t="str" cm="1">
        <f t="array" ref="D25">BuildCounter(A25)</f>
        <v>8.1</v>
      </c>
    </row>
    <row r="26" spans="1:4" ht="24.75" thickBot="1" x14ac:dyDescent="0.3">
      <c r="A26" s="21" t="s">
        <v>1281</v>
      </c>
      <c r="B26" s="23" t="s">
        <v>1235</v>
      </c>
      <c r="C26" s="61"/>
      <c r="D26" t="str" cm="1">
        <f t="array" ref="D26">BuildCounter(A26)</f>
        <v>8.2</v>
      </c>
    </row>
    <row r="27" spans="1:4" ht="24.75" thickBot="1" x14ac:dyDescent="0.3">
      <c r="A27" s="21" t="s">
        <v>1282</v>
      </c>
      <c r="B27" s="23" t="s">
        <v>1283</v>
      </c>
      <c r="C27" s="61"/>
      <c r="D27" t="str" cm="1">
        <f t="array" ref="D27">BuildCounter(A27)</f>
        <v>8.3</v>
      </c>
    </row>
    <row r="28" spans="1:4" ht="108.75" thickBot="1" x14ac:dyDescent="0.3">
      <c r="A28" s="27" t="s">
        <v>1289</v>
      </c>
      <c r="B28" s="28" t="s">
        <v>1290</v>
      </c>
      <c r="C28" s="61"/>
      <c r="D28" t="str" cm="1">
        <f t="array" ref="D28">BuildCounter(A28)</f>
        <v>9</v>
      </c>
    </row>
    <row r="29" spans="1:4" ht="24.75" thickBot="1" x14ac:dyDescent="0.3">
      <c r="A29" s="21" t="s">
        <v>1291</v>
      </c>
      <c r="B29" s="23" t="s">
        <v>1233</v>
      </c>
      <c r="C29" s="61"/>
      <c r="D29" t="str" cm="1">
        <f t="array" ref="D29">BuildCounter(A29)</f>
        <v>9.1</v>
      </c>
    </row>
    <row r="30" spans="1:4" ht="24.75" thickBot="1" x14ac:dyDescent="0.3">
      <c r="A30" s="21" t="s">
        <v>1292</v>
      </c>
      <c r="B30" s="23" t="s">
        <v>1235</v>
      </c>
      <c r="C30" s="60"/>
      <c r="D30" t="str" cm="1">
        <f t="array" ref="D30">BuildCounter(A30)</f>
        <v>9.2</v>
      </c>
    </row>
    <row r="31" spans="1:4" ht="24.75" thickBot="1" x14ac:dyDescent="0.3">
      <c r="A31" s="21" t="s">
        <v>1293</v>
      </c>
      <c r="B31" s="23" t="s">
        <v>1283</v>
      </c>
      <c r="C31" s="61"/>
      <c r="D31" t="str" cm="1">
        <f t="array" ref="D31">BuildCounter(A31)</f>
        <v>9.3</v>
      </c>
    </row>
    <row r="32" spans="1:4" ht="149.25" thickBot="1" x14ac:dyDescent="0.3">
      <c r="A32" s="52" t="s">
        <v>1294</v>
      </c>
      <c r="B32" s="53" t="s">
        <v>1307</v>
      </c>
      <c r="C32" s="61"/>
      <c r="D32" t="str" cm="1">
        <f t="array" ref="D32">BuildCounter(A32)</f>
        <v>10</v>
      </c>
    </row>
    <row r="33" spans="1:4" ht="27.75" thickBot="1" x14ac:dyDescent="0.3">
      <c r="A33" s="33" t="s">
        <v>1308</v>
      </c>
      <c r="B33" s="31" t="s">
        <v>1233</v>
      </c>
      <c r="C33" s="61"/>
      <c r="D33" t="str" cm="1">
        <f t="array" ref="D33">BuildCounter(A33)</f>
        <v>10.1</v>
      </c>
    </row>
    <row r="34" spans="1:4" ht="27.75" thickBot="1" x14ac:dyDescent="0.3">
      <c r="A34" s="33" t="s">
        <v>1309</v>
      </c>
      <c r="B34" s="31" t="s">
        <v>1235</v>
      </c>
      <c r="C34" s="61"/>
      <c r="D34" t="str" cm="1">
        <f t="array" ref="D34">BuildCounter(A34)</f>
        <v>10.2</v>
      </c>
    </row>
    <row r="35" spans="1:4" ht="243.75" thickBot="1" x14ac:dyDescent="0.3">
      <c r="A35" s="52" t="s">
        <v>1310</v>
      </c>
      <c r="B35" s="53" t="s">
        <v>1311</v>
      </c>
      <c r="C35" s="60"/>
      <c r="D35" t="str" cm="1">
        <f t="array" ref="D35">BuildCounter(A35)</f>
        <v>11</v>
      </c>
    </row>
    <row r="36" spans="1:4" ht="27.75" thickBot="1" x14ac:dyDescent="0.3">
      <c r="A36" s="33" t="s">
        <v>1312</v>
      </c>
      <c r="B36" s="31" t="s">
        <v>1233</v>
      </c>
      <c r="C36" s="61"/>
      <c r="D36" t="str" cm="1">
        <f t="array" ref="D36">BuildCounter(A36)</f>
        <v>11.1</v>
      </c>
    </row>
    <row r="37" spans="1:4" ht="27.75" thickBot="1" x14ac:dyDescent="0.3">
      <c r="A37" s="33" t="s">
        <v>1313</v>
      </c>
      <c r="B37" s="31" t="s">
        <v>1235</v>
      </c>
      <c r="C37" s="61"/>
      <c r="D37" t="str" cm="1">
        <f t="array" ref="D37">BuildCounter(A37)</f>
        <v>11.2</v>
      </c>
    </row>
    <row r="38" spans="1:4" ht="230.25" thickBot="1" x14ac:dyDescent="0.3">
      <c r="A38" s="52" t="s">
        <v>1314</v>
      </c>
      <c r="B38" s="53" t="s">
        <v>1315</v>
      </c>
      <c r="C38" s="61"/>
      <c r="D38" t="str" cm="1">
        <f t="array" ref="D38">BuildCounter(A38)</f>
        <v>12</v>
      </c>
    </row>
    <row r="39" spans="1:4" ht="27.75" thickBot="1" x14ac:dyDescent="0.3">
      <c r="A39" s="33" t="s">
        <v>1316</v>
      </c>
      <c r="B39" s="31" t="s">
        <v>1233</v>
      </c>
      <c r="C39" s="61"/>
      <c r="D39" t="str" cm="1">
        <f t="array" ref="D39">BuildCounter(A39)</f>
        <v>12.1</v>
      </c>
    </row>
    <row r="40" spans="1:4" ht="27.75" thickBot="1" x14ac:dyDescent="0.3">
      <c r="A40" s="33" t="s">
        <v>1317</v>
      </c>
      <c r="B40" s="31" t="s">
        <v>1235</v>
      </c>
      <c r="C40" s="60"/>
      <c r="D40" t="str" cm="1">
        <f t="array" ref="D40">BuildCounter(A40)</f>
        <v>12.2</v>
      </c>
    </row>
    <row r="41" spans="1:4" ht="188.25" thickBot="1" x14ac:dyDescent="0.3">
      <c r="A41" s="38" t="s">
        <v>1318</v>
      </c>
      <c r="B41" s="54" t="s">
        <v>1319</v>
      </c>
      <c r="C41" s="61"/>
      <c r="D41" t="str" cm="1">
        <f t="array" ref="D41">BuildCounter(A41)</f>
        <v>13</v>
      </c>
    </row>
    <row r="42" spans="1:4" ht="34.5" thickBot="1" x14ac:dyDescent="0.3">
      <c r="A42" s="30" t="s">
        <v>1320</v>
      </c>
      <c r="B42" s="30" t="s">
        <v>1321</v>
      </c>
      <c r="C42" s="61"/>
      <c r="D42" t="str" cm="1">
        <f t="array" ref="D42">BuildCounter(A42)</f>
        <v>13.1</v>
      </c>
    </row>
    <row r="43" spans="1:4" ht="34.5" thickBot="1" x14ac:dyDescent="0.3">
      <c r="A43" s="30" t="s">
        <v>1322</v>
      </c>
      <c r="B43" s="30" t="s">
        <v>1323</v>
      </c>
      <c r="C43" s="61"/>
      <c r="D43" t="str" cm="1">
        <f t="array" ref="D43">BuildCounter(A43)</f>
        <v>13.2</v>
      </c>
    </row>
    <row r="44" spans="1:4" ht="180.75" thickBot="1" x14ac:dyDescent="0.3">
      <c r="A44" s="38" t="s">
        <v>1247</v>
      </c>
      <c r="B44" s="41" t="s">
        <v>1248</v>
      </c>
      <c r="C44" s="61"/>
      <c r="D44" t="str" cm="1">
        <f t="array" ref="D44">BuildCounter(A44)</f>
        <v>14</v>
      </c>
    </row>
    <row r="45" spans="1:4" ht="23.25" thickBot="1" x14ac:dyDescent="0.3">
      <c r="A45" s="30" t="s">
        <v>1324</v>
      </c>
      <c r="B45" s="30" t="s">
        <v>1325</v>
      </c>
      <c r="C45" s="61"/>
      <c r="D45" t="str" cm="1">
        <f t="array" ref="D45">BuildCounter(A45)</f>
        <v>14.1</v>
      </c>
    </row>
    <row r="46" spans="1:4" ht="23.25" thickBot="1" x14ac:dyDescent="0.3">
      <c r="A46" s="30" t="s">
        <v>1326</v>
      </c>
      <c r="B46" s="30" t="s">
        <v>1327</v>
      </c>
      <c r="C46" s="61"/>
      <c r="D46" t="str" cm="1">
        <f t="array" ref="D46">BuildCounter(A46)</f>
        <v>14.2</v>
      </c>
    </row>
    <row r="47" spans="1:4" ht="108.75" thickBot="1" x14ac:dyDescent="0.3">
      <c r="A47" s="52" t="s">
        <v>758</v>
      </c>
      <c r="B47" s="53" t="s">
        <v>1328</v>
      </c>
      <c r="C47" s="60"/>
      <c r="D47" t="str" cm="1">
        <f t="array" ref="D47">BuildCounter(A47)</f>
        <v>15</v>
      </c>
    </row>
    <row r="48" spans="1:4" ht="27.75" thickBot="1" x14ac:dyDescent="0.3">
      <c r="A48" s="33" t="s">
        <v>1329</v>
      </c>
      <c r="B48" s="31" t="s">
        <v>1269</v>
      </c>
      <c r="C48" s="61"/>
      <c r="D48" t="str" cm="1">
        <f t="array" ref="D48">BuildCounter(A48)</f>
        <v>15.1</v>
      </c>
    </row>
    <row r="49" spans="1:4" ht="27.75" thickBot="1" x14ac:dyDescent="0.3">
      <c r="A49" s="33" t="s">
        <v>1330</v>
      </c>
      <c r="B49" s="31" t="s">
        <v>1271</v>
      </c>
      <c r="C49" s="61"/>
      <c r="D49" t="str" cm="1">
        <f t="array" ref="D49">BuildCounter(A49)</f>
        <v>15.2</v>
      </c>
    </row>
    <row r="50" spans="1:4" ht="162.75" thickBot="1" x14ac:dyDescent="0.3">
      <c r="A50" s="34" t="s">
        <v>1284</v>
      </c>
      <c r="B50" s="53" t="s">
        <v>1337</v>
      </c>
      <c r="C50" s="61"/>
      <c r="D50" t="str" cm="1">
        <f t="array" ref="D50">BuildCounter(A50)</f>
        <v>15</v>
      </c>
    </row>
    <row r="51" spans="1:4" ht="27.75" thickBot="1" x14ac:dyDescent="0.3">
      <c r="A51" s="30" t="s">
        <v>1338</v>
      </c>
      <c r="B51" s="31" t="s">
        <v>1233</v>
      </c>
      <c r="C51" s="60"/>
      <c r="D51" t="str" cm="1">
        <f t="array" ref="D51">BuildCounter(A51)</f>
        <v>15.3</v>
      </c>
    </row>
    <row r="52" spans="1:4" ht="27.75" thickBot="1" x14ac:dyDescent="0.3">
      <c r="A52" s="30" t="s">
        <v>1339</v>
      </c>
      <c r="B52" s="31" t="s">
        <v>1235</v>
      </c>
      <c r="C52" s="61"/>
      <c r="D52" t="str" cm="1">
        <f t="array" ref="D52">BuildCounter(A52)</f>
        <v>15.4</v>
      </c>
    </row>
    <row r="53" spans="1:4" ht="27.75" thickBot="1" x14ac:dyDescent="0.3">
      <c r="A53" s="30" t="s">
        <v>1340</v>
      </c>
      <c r="B53" s="31" t="s">
        <v>1336</v>
      </c>
      <c r="C53" s="61"/>
      <c r="D53" t="str" cm="1">
        <f t="array" ref="D53">BuildCounter(A53)</f>
        <v>15.5</v>
      </c>
    </row>
    <row r="54" spans="1:4" ht="72.75" thickBot="1" x14ac:dyDescent="0.3">
      <c r="A54" s="38" t="s">
        <v>1341</v>
      </c>
      <c r="B54" s="39" t="s">
        <v>1342</v>
      </c>
      <c r="C54" s="61"/>
      <c r="D54" t="str" cm="1">
        <f t="array" ref="D54">BuildCounter(A54)</f>
        <v>16</v>
      </c>
    </row>
    <row r="55" spans="1:4" ht="34.5" thickBot="1" x14ac:dyDescent="0.3">
      <c r="A55" s="30" t="s">
        <v>1343</v>
      </c>
      <c r="B55" s="30" t="s">
        <v>1344</v>
      </c>
      <c r="C55" s="61"/>
      <c r="D55" t="str" cm="1">
        <f t="array" ref="D55">BuildCounter(A55)</f>
        <v>16.1</v>
      </c>
    </row>
    <row r="56" spans="1:4" ht="34.5" thickBot="1" x14ac:dyDescent="0.3">
      <c r="A56" s="30" t="s">
        <v>1345</v>
      </c>
      <c r="B56" s="30" t="s">
        <v>1346</v>
      </c>
      <c r="C56" s="60"/>
      <c r="D56" t="str" cm="1">
        <f t="array" ref="D56">BuildCounter(A56)</f>
        <v>16.2</v>
      </c>
    </row>
    <row r="57" spans="1:4" ht="34.5" thickBot="1" x14ac:dyDescent="0.3">
      <c r="A57" s="30" t="s">
        <v>1347</v>
      </c>
      <c r="B57" s="30" t="s">
        <v>1348</v>
      </c>
      <c r="C57" s="60"/>
      <c r="D57" t="str" cm="1">
        <f t="array" ref="D57">BuildCounter(A57)</f>
        <v>16.3</v>
      </c>
    </row>
    <row r="58" spans="1:4" ht="156.75" thickBot="1" x14ac:dyDescent="0.3">
      <c r="A58" s="38" t="s">
        <v>1349</v>
      </c>
      <c r="B58" s="39" t="s">
        <v>1350</v>
      </c>
      <c r="C58" s="61"/>
      <c r="D58" t="str" cm="1">
        <f t="array" ref="D58">BuildCounter(A58)</f>
        <v>17</v>
      </c>
    </row>
    <row r="59" spans="1:4" ht="34.5" thickBot="1" x14ac:dyDescent="0.3">
      <c r="A59" s="30" t="s">
        <v>1351</v>
      </c>
      <c r="B59" s="30" t="s">
        <v>1344</v>
      </c>
      <c r="C59" s="61"/>
      <c r="D59" t="str" cm="1">
        <f t="array" ref="D59">BuildCounter(A59)</f>
        <v>17.1</v>
      </c>
    </row>
    <row r="60" spans="1:4" ht="34.5" thickBot="1" x14ac:dyDescent="0.3">
      <c r="A60" s="30" t="s">
        <v>1352</v>
      </c>
      <c r="B60" s="30" t="s">
        <v>1346</v>
      </c>
      <c r="C60" s="61"/>
      <c r="D60" t="str" cm="1">
        <f t="array" ref="D60">BuildCounter(A60)</f>
        <v>17.2</v>
      </c>
    </row>
    <row r="61" spans="1:4" ht="34.5" thickBot="1" x14ac:dyDescent="0.3">
      <c r="A61" s="30" t="s">
        <v>1353</v>
      </c>
      <c r="B61" s="30" t="s">
        <v>1348</v>
      </c>
      <c r="C61" s="61"/>
      <c r="D61" t="str" cm="1">
        <f t="array" ref="D61">BuildCounter(A61)</f>
        <v>17.3</v>
      </c>
    </row>
    <row r="62" spans="1:4" ht="48.75" thickBot="1" x14ac:dyDescent="0.3">
      <c r="A62" s="38" t="s">
        <v>1354</v>
      </c>
      <c r="B62" s="39" t="s">
        <v>1355</v>
      </c>
      <c r="C62" s="60"/>
      <c r="D62" t="str" cm="1">
        <f t="array" ref="D62">BuildCounter(A62)</f>
        <v>18</v>
      </c>
    </row>
    <row r="63" spans="1:4" ht="34.5" thickBot="1" x14ac:dyDescent="0.3">
      <c r="A63" s="30" t="s">
        <v>1356</v>
      </c>
      <c r="B63" s="30" t="s">
        <v>1344</v>
      </c>
      <c r="C63" s="61"/>
      <c r="D63" t="str" cm="1">
        <f t="array" ref="D63">BuildCounter(A63)</f>
        <v>18.1</v>
      </c>
    </row>
    <row r="64" spans="1:4" ht="34.5" thickBot="1" x14ac:dyDescent="0.3">
      <c r="A64" s="30" t="s">
        <v>1357</v>
      </c>
      <c r="B64" s="30" t="s">
        <v>1346</v>
      </c>
      <c r="C64" s="61"/>
      <c r="D64" t="str" cm="1">
        <f t="array" ref="D64">BuildCounter(A64)</f>
        <v>18.2</v>
      </c>
    </row>
    <row r="65" spans="1:4" ht="34.5" thickBot="1" x14ac:dyDescent="0.3">
      <c r="A65" s="30" t="s">
        <v>1358</v>
      </c>
      <c r="B65" s="30" t="s">
        <v>1348</v>
      </c>
      <c r="C65" s="61"/>
      <c r="D65" t="str" cm="1">
        <f t="array" ref="D65">BuildCounter(A65)</f>
        <v>18.3</v>
      </c>
    </row>
    <row r="66" spans="1:4" ht="48.75" thickBot="1" x14ac:dyDescent="0.3">
      <c r="A66" s="38" t="s">
        <v>1359</v>
      </c>
      <c r="B66" s="41" t="s">
        <v>1360</v>
      </c>
      <c r="C66" s="61"/>
      <c r="D66" t="str" cm="1">
        <f t="array" ref="D66">BuildCounter(A66)</f>
        <v>19</v>
      </c>
    </row>
    <row r="67" spans="1:4" ht="34.5" thickBot="1" x14ac:dyDescent="0.3">
      <c r="A67" s="30" t="s">
        <v>1361</v>
      </c>
      <c r="B67" s="37" t="s">
        <v>1344</v>
      </c>
      <c r="C67" s="60"/>
      <c r="D67" t="str" cm="1">
        <f t="array" ref="D67">BuildCounter(A67)</f>
        <v>19.1</v>
      </c>
    </row>
    <row r="68" spans="1:4" ht="34.5" thickBot="1" x14ac:dyDescent="0.3">
      <c r="A68" s="30" t="s">
        <v>1362</v>
      </c>
      <c r="B68" s="37" t="s">
        <v>1346</v>
      </c>
      <c r="C68" s="61"/>
      <c r="D68" t="str" cm="1">
        <f t="array" ref="D68">BuildCounter(A68)</f>
        <v>19.2</v>
      </c>
    </row>
    <row r="69" spans="1:4" ht="34.5" thickBot="1" x14ac:dyDescent="0.3">
      <c r="A69" s="30" t="s">
        <v>1363</v>
      </c>
      <c r="B69" s="37" t="s">
        <v>1348</v>
      </c>
      <c r="C69" s="61"/>
      <c r="D69" t="str" cm="1">
        <f t="array" ref="D69">BuildCounter(A69)</f>
        <v>19.3</v>
      </c>
    </row>
    <row r="70" spans="1:4" ht="48.75" thickBot="1" x14ac:dyDescent="0.3">
      <c r="A70" s="38" t="s">
        <v>1364</v>
      </c>
      <c r="B70" s="41" t="s">
        <v>1365</v>
      </c>
      <c r="C70" s="61"/>
      <c r="D70" t="str" cm="1">
        <f t="array" ref="D70">BuildCounter(A70)</f>
        <v>20</v>
      </c>
    </row>
    <row r="71" spans="1:4" ht="34.5" thickBot="1" x14ac:dyDescent="0.3">
      <c r="A71" s="30" t="s">
        <v>1366</v>
      </c>
      <c r="B71" s="37" t="s">
        <v>1344</v>
      </c>
      <c r="D71" t="str" cm="1">
        <f t="array" ref="D71">BuildCounter(A71)</f>
        <v>20.1</v>
      </c>
    </row>
    <row r="72" spans="1:4" ht="34.5" thickBot="1" x14ac:dyDescent="0.3">
      <c r="A72" s="30" t="s">
        <v>1367</v>
      </c>
      <c r="B72" s="37" t="s">
        <v>1346</v>
      </c>
      <c r="D72" t="str" cm="1">
        <f t="array" ref="D72">BuildCounter(A72)</f>
        <v>20.2</v>
      </c>
    </row>
    <row r="73" spans="1:4" ht="34.5" thickBot="1" x14ac:dyDescent="0.3">
      <c r="A73" s="30" t="s">
        <v>1368</v>
      </c>
      <c r="B73" s="37" t="s">
        <v>1348</v>
      </c>
      <c r="D73" t="str" cm="1">
        <f t="array" ref="D73">BuildCounter(A73)</f>
        <v>20.3</v>
      </c>
    </row>
    <row r="74" spans="1:4" ht="60.75" thickBot="1" x14ac:dyDescent="0.3">
      <c r="A74" s="38" t="s">
        <v>1369</v>
      </c>
      <c r="B74" s="41" t="s">
        <v>1370</v>
      </c>
      <c r="D74" t="str" cm="1">
        <f t="array" ref="D74">BuildCounter(A74)</f>
        <v>21</v>
      </c>
    </row>
    <row r="75" spans="1:4" ht="34.5" thickBot="1" x14ac:dyDescent="0.3">
      <c r="A75" s="30" t="s">
        <v>1371</v>
      </c>
      <c r="B75" s="37" t="s">
        <v>1344</v>
      </c>
      <c r="D75" t="str" cm="1">
        <f t="array" ref="D75">BuildCounter(A75)</f>
        <v>21.1</v>
      </c>
    </row>
    <row r="76" spans="1:4" ht="34.5" thickBot="1" x14ac:dyDescent="0.3">
      <c r="A76" s="30" t="s">
        <v>1372</v>
      </c>
      <c r="B76" s="37" t="s">
        <v>1346</v>
      </c>
      <c r="D76" t="str" cm="1">
        <f t="array" ref="D76">BuildCounter(A76)</f>
        <v>21.2</v>
      </c>
    </row>
    <row r="77" spans="1:4" ht="34.5" thickBot="1" x14ac:dyDescent="0.3">
      <c r="A77" s="30" t="s">
        <v>1373</v>
      </c>
      <c r="B77" s="37" t="s">
        <v>1348</v>
      </c>
      <c r="D77" t="str" cm="1">
        <f t="array" ref="D77">BuildCounter(A77)</f>
        <v>21.3</v>
      </c>
    </row>
    <row r="78" spans="1:4" ht="48.75" thickBot="1" x14ac:dyDescent="0.3">
      <c r="A78" s="38" t="s">
        <v>1374</v>
      </c>
      <c r="B78" s="41" t="s">
        <v>1375</v>
      </c>
      <c r="D78" t="str" cm="1">
        <f t="array" ref="D78">BuildCounter(A78)</f>
        <v>22</v>
      </c>
    </row>
    <row r="79" spans="1:4" ht="34.5" thickBot="1" x14ac:dyDescent="0.3">
      <c r="A79" s="30" t="s">
        <v>1376</v>
      </c>
      <c r="B79" s="37" t="s">
        <v>1344</v>
      </c>
      <c r="D79" t="str" cm="1">
        <f t="array" ref="D79">BuildCounter(A79)</f>
        <v>22.1</v>
      </c>
    </row>
    <row r="80" spans="1:4" ht="34.5" thickBot="1" x14ac:dyDescent="0.3">
      <c r="A80" s="30" t="s">
        <v>1377</v>
      </c>
      <c r="B80" s="37" t="s">
        <v>1346</v>
      </c>
      <c r="D80" t="str" cm="1">
        <f t="array" ref="D80">BuildCounter(A80)</f>
        <v>22.2</v>
      </c>
    </row>
    <row r="81" spans="1:4" ht="34.5" thickBot="1" x14ac:dyDescent="0.3">
      <c r="A81" s="30" t="s">
        <v>1378</v>
      </c>
      <c r="B81" s="37" t="s">
        <v>1348</v>
      </c>
      <c r="D81" t="str" cm="1">
        <f t="array" ref="D81">BuildCounter(A81)</f>
        <v>22.3</v>
      </c>
    </row>
    <row r="82" spans="1:4" ht="72.75" thickBot="1" x14ac:dyDescent="0.3">
      <c r="A82" s="38" t="s">
        <v>1379</v>
      </c>
      <c r="B82" s="41" t="s">
        <v>1380</v>
      </c>
      <c r="D82" t="str" cm="1">
        <f t="array" ref="D82">BuildCounter(A82)</f>
        <v>23</v>
      </c>
    </row>
    <row r="83" spans="1:4" ht="34.5" thickBot="1" x14ac:dyDescent="0.3">
      <c r="A83" s="30" t="s">
        <v>1381</v>
      </c>
      <c r="B83" s="37" t="s">
        <v>1344</v>
      </c>
      <c r="D83" t="str" cm="1">
        <f t="array" ref="D83">BuildCounter(A83)</f>
        <v>23.1</v>
      </c>
    </row>
    <row r="84" spans="1:4" ht="34.5" thickBot="1" x14ac:dyDescent="0.3">
      <c r="A84" s="30" t="s">
        <v>1382</v>
      </c>
      <c r="B84" s="37" t="s">
        <v>1346</v>
      </c>
      <c r="D84" t="str" cm="1">
        <f t="array" ref="D84">BuildCounter(A84)</f>
        <v>23.2</v>
      </c>
    </row>
    <row r="85" spans="1:4" ht="34.5" thickBot="1" x14ac:dyDescent="0.3">
      <c r="A85" s="30" t="s">
        <v>1383</v>
      </c>
      <c r="B85" s="37" t="s">
        <v>1348</v>
      </c>
      <c r="D85" t="str" cm="1">
        <f t="array" ref="D85">BuildCounter(A85)</f>
        <v>23.3</v>
      </c>
    </row>
    <row r="86" spans="1:4" ht="168.75" thickBot="1" x14ac:dyDescent="0.3">
      <c r="A86" s="38" t="s">
        <v>1384</v>
      </c>
      <c r="B86" s="41" t="s">
        <v>1385</v>
      </c>
      <c r="D86" t="str" cm="1">
        <f t="array" ref="D86">BuildCounter(A86)</f>
        <v>24</v>
      </c>
    </row>
    <row r="87" spans="1:4" ht="34.5" thickBot="1" x14ac:dyDescent="0.3">
      <c r="A87" s="30" t="s">
        <v>1386</v>
      </c>
      <c r="B87" s="37" t="s">
        <v>1344</v>
      </c>
      <c r="D87" t="str" cm="1">
        <f t="array" ref="D87">BuildCounter(A87)</f>
        <v>24.1</v>
      </c>
    </row>
    <row r="88" spans="1:4" ht="34.5" thickBot="1" x14ac:dyDescent="0.3">
      <c r="A88" s="30" t="s">
        <v>1387</v>
      </c>
      <c r="B88" s="37" t="s">
        <v>1346</v>
      </c>
      <c r="D88" t="str" cm="1">
        <f t="array" ref="D88">BuildCounter(A88)</f>
        <v>24.2</v>
      </c>
    </row>
    <row r="89" spans="1:4" ht="34.5" thickBot="1" x14ac:dyDescent="0.3">
      <c r="A89" s="30" t="s">
        <v>1388</v>
      </c>
      <c r="B89" s="30" t="s">
        <v>1348</v>
      </c>
      <c r="D89" t="str" cm="1">
        <f t="array" ref="D89">BuildCounter(A89)</f>
        <v>24.3</v>
      </c>
    </row>
    <row r="90" spans="1:4" ht="108.75" thickBot="1" x14ac:dyDescent="0.3">
      <c r="A90" s="44" t="s">
        <v>840</v>
      </c>
      <c r="B90" s="43" t="s">
        <v>1296</v>
      </c>
      <c r="D90" t="str" cm="1">
        <f t="array" ref="D90">BuildCounter(A90)</f>
        <v>25</v>
      </c>
    </row>
    <row r="91" spans="1:4" ht="189.75" thickBot="1" x14ac:dyDescent="0.3">
      <c r="A91" s="45" t="s">
        <v>842</v>
      </c>
      <c r="B91" s="43" t="s">
        <v>1299</v>
      </c>
      <c r="D91" t="str" cm="1">
        <f t="array" ref="D91">BuildCounter(A91)</f>
        <v>26</v>
      </c>
    </row>
    <row r="92" spans="1:4" ht="54.75" thickBot="1" x14ac:dyDescent="0.3">
      <c r="A92" s="44" t="s">
        <v>844</v>
      </c>
      <c r="B92" s="44" t="s">
        <v>1360</v>
      </c>
      <c r="D92" t="str" cm="1">
        <f t="array" ref="D92">BuildCounter(A92)</f>
        <v>27</v>
      </c>
    </row>
    <row r="93" spans="1:4" ht="54.75" thickBot="1" x14ac:dyDescent="0.3">
      <c r="A93" s="44" t="s">
        <v>846</v>
      </c>
      <c r="B93" s="44" t="s">
        <v>1365</v>
      </c>
      <c r="D93" t="str" cm="1">
        <f t="array" ref="D93">BuildCounter(A93)</f>
        <v>28</v>
      </c>
    </row>
    <row r="94" spans="1:4" ht="95.25" thickBot="1" x14ac:dyDescent="0.3">
      <c r="A94" s="44" t="s">
        <v>848</v>
      </c>
      <c r="B94" s="44" t="s">
        <v>1370</v>
      </c>
      <c r="D94" t="str" cm="1">
        <f t="array" ref="D94">BuildCounter(A94)</f>
        <v>29</v>
      </c>
    </row>
    <row r="95" spans="1:4" ht="81.75" thickBot="1" x14ac:dyDescent="0.3">
      <c r="A95" s="44" t="s">
        <v>850</v>
      </c>
      <c r="B95" s="44" t="s">
        <v>1375</v>
      </c>
      <c r="D95" t="str" cm="1">
        <f t="array" ref="D95">BuildCounter(A95)</f>
        <v>30</v>
      </c>
    </row>
    <row r="96" spans="1:4" ht="81.75" thickBot="1" x14ac:dyDescent="0.3">
      <c r="A96" s="44" t="s">
        <v>852</v>
      </c>
      <c r="B96" s="44" t="s">
        <v>1380</v>
      </c>
      <c r="D96" t="str" cm="1">
        <f t="array" ref="D96">BuildCounter(A96)</f>
        <v>31</v>
      </c>
    </row>
    <row r="97" spans="1:4" ht="230.25" thickBot="1" x14ac:dyDescent="0.3">
      <c r="A97" s="45" t="s">
        <v>854</v>
      </c>
      <c r="B97" s="43" t="s">
        <v>1385</v>
      </c>
      <c r="D97" t="str" cm="1">
        <f t="array" ref="D97">BuildCounter(A97)</f>
        <v>32</v>
      </c>
    </row>
    <row r="98" spans="1:4" ht="95.25" thickBot="1" x14ac:dyDescent="0.3">
      <c r="A98" s="45" t="s">
        <v>856</v>
      </c>
      <c r="B98" s="44" t="s">
        <v>1302</v>
      </c>
      <c r="D98" t="str" cm="1">
        <f t="array" ref="D98">BuildCounter(A98)</f>
        <v>33</v>
      </c>
    </row>
    <row r="99" spans="1:4" ht="203.25" thickBot="1" x14ac:dyDescent="0.3">
      <c r="A99" s="45" t="s">
        <v>858</v>
      </c>
      <c r="B99" s="44" t="s">
        <v>1389</v>
      </c>
      <c r="D99" t="str" cm="1">
        <f t="array" ref="D99">BuildCounter(A99)</f>
        <v>34</v>
      </c>
    </row>
    <row r="100" spans="1:4" ht="54.75" thickBot="1" x14ac:dyDescent="0.3">
      <c r="A100" s="44" t="s">
        <v>862</v>
      </c>
      <c r="B100" s="47" t="s">
        <v>1360</v>
      </c>
      <c r="D100" t="str" cm="1">
        <f t="array" ref="D100">BuildCounter(A100)</f>
        <v>35</v>
      </c>
    </row>
    <row r="101" spans="1:4" ht="54.75" thickBot="1" x14ac:dyDescent="0.3">
      <c r="A101" s="44" t="s">
        <v>864</v>
      </c>
      <c r="B101" s="47" t="s">
        <v>1365</v>
      </c>
      <c r="D101" t="str" cm="1">
        <f t="array" ref="D101">BuildCounter(A101)</f>
        <v>36</v>
      </c>
    </row>
    <row r="102" spans="1:4" ht="95.25" thickBot="1" x14ac:dyDescent="0.3">
      <c r="A102" s="44" t="s">
        <v>866</v>
      </c>
      <c r="B102" s="47" t="s">
        <v>1370</v>
      </c>
      <c r="D102" t="str" cm="1">
        <f t="array" ref="D102">BuildCounter(A102)</f>
        <v>37</v>
      </c>
    </row>
    <row r="103" spans="1:4" ht="81.75" thickBot="1" x14ac:dyDescent="0.3">
      <c r="A103" s="44" t="s">
        <v>868</v>
      </c>
      <c r="B103" s="47" t="s">
        <v>1375</v>
      </c>
      <c r="D103" t="str" cm="1">
        <f t="array" ref="D103">BuildCounter(A103)</f>
        <v>38</v>
      </c>
    </row>
    <row r="104" spans="1:4" ht="81.75" thickBot="1" x14ac:dyDescent="0.3">
      <c r="A104" s="44" t="s">
        <v>870</v>
      </c>
      <c r="B104" s="47" t="s">
        <v>1380</v>
      </c>
      <c r="D104" t="str" cm="1">
        <f t="array" ref="D104">BuildCounter(A104)</f>
        <v>39</v>
      </c>
    </row>
    <row r="105" spans="1:4" ht="189" x14ac:dyDescent="0.25">
      <c r="A105" s="48" t="s">
        <v>872</v>
      </c>
      <c r="B105" s="49" t="s">
        <v>1305</v>
      </c>
      <c r="D105" t="str" cm="1">
        <f t="array" ref="D105">BuildCounter(A105)</f>
        <v>40</v>
      </c>
    </row>
    <row r="106" spans="1:4" ht="72.75" thickBot="1" x14ac:dyDescent="0.3">
      <c r="A106" s="38" t="s">
        <v>874</v>
      </c>
      <c r="B106" s="39" t="s">
        <v>1302</v>
      </c>
      <c r="D106" t="str" cm="1">
        <f t="array" ref="D106">BuildCounter(A106)</f>
        <v>41</v>
      </c>
    </row>
    <row r="107" spans="1:4" ht="132.75" thickBot="1" x14ac:dyDescent="0.3">
      <c r="A107" s="38" t="s">
        <v>876</v>
      </c>
      <c r="B107" s="39" t="s">
        <v>1392</v>
      </c>
      <c r="D107" t="str" cm="1">
        <f t="array" ref="D107">BuildCounter(A107)</f>
        <v>42</v>
      </c>
    </row>
    <row r="108" spans="1:4" ht="34.5" thickBot="1" x14ac:dyDescent="0.3">
      <c r="A108" s="51" t="s">
        <v>878</v>
      </c>
      <c r="B108" s="51" t="s">
        <v>1393</v>
      </c>
      <c r="D108" t="str" cm="1">
        <f t="array" ref="D108">BuildCounter(A108)</f>
        <v>43</v>
      </c>
    </row>
    <row r="109" spans="1:4" ht="34.5" thickBot="1" x14ac:dyDescent="0.3">
      <c r="A109" s="51" t="s">
        <v>880</v>
      </c>
      <c r="B109" s="51" t="s">
        <v>1394</v>
      </c>
      <c r="D109" t="str" cm="1">
        <f t="array" ref="D109">BuildCounter(A109)</f>
        <v>44</v>
      </c>
    </row>
    <row r="110" spans="1:4" ht="45.75" thickBot="1" x14ac:dyDescent="0.3">
      <c r="A110" s="51" t="s">
        <v>882</v>
      </c>
      <c r="B110" s="51" t="s">
        <v>1395</v>
      </c>
      <c r="D110" t="str" cm="1">
        <f t="array" ref="D110">BuildCounter(A110)</f>
        <v>45</v>
      </c>
    </row>
    <row r="111" spans="1:4" ht="45.75" thickBot="1" x14ac:dyDescent="0.3">
      <c r="A111" s="51" t="s">
        <v>1396</v>
      </c>
      <c r="B111" s="51" t="s">
        <v>1397</v>
      </c>
      <c r="D111" t="str" cm="1">
        <f t="array" ref="D111">BuildCounter(A111)</f>
        <v>46</v>
      </c>
    </row>
    <row r="112" spans="1:4" ht="57" thickBot="1" x14ac:dyDescent="0.3">
      <c r="A112" s="51" t="s">
        <v>1398</v>
      </c>
      <c r="B112" s="51" t="s">
        <v>1399</v>
      </c>
      <c r="D112" t="str" cm="1">
        <f t="array" ref="D112">BuildCounter(A112)</f>
        <v>47</v>
      </c>
    </row>
    <row r="113" spans="1:4" ht="120.75" thickBot="1" x14ac:dyDescent="0.3">
      <c r="A113" s="38" t="s">
        <v>888</v>
      </c>
      <c r="B113" s="39" t="s">
        <v>1400</v>
      </c>
      <c r="D113" t="str" cm="1">
        <f t="array" ref="D113">BuildCounter(A113)</f>
        <v>48</v>
      </c>
    </row>
    <row r="114" spans="1:4" ht="60.75" thickBot="1" x14ac:dyDescent="0.3">
      <c r="A114" s="70" t="s">
        <v>1297</v>
      </c>
      <c r="B114" s="71" t="s">
        <v>1298</v>
      </c>
      <c r="D114" t="str" cm="1">
        <f t="array" ref="D114">BuildCounter(A114)</f>
        <v>49</v>
      </c>
    </row>
    <row r="115" spans="1:4" ht="60.75" thickBot="1" x14ac:dyDescent="0.3">
      <c r="A115" s="70" t="s">
        <v>1303</v>
      </c>
      <c r="B115" s="71" t="s">
        <v>1304</v>
      </c>
      <c r="D115" t="str" cm="1">
        <f t="array" ref="D115">BuildCounter(A115)</f>
        <v>50</v>
      </c>
    </row>
    <row r="116" spans="1:4" ht="15.75" thickBot="1" x14ac:dyDescent="0.3">
      <c r="A116" s="70"/>
      <c r="B116" s="71"/>
      <c r="D116" t="str" cm="1">
        <f t="array" ref="D116">BuildCounter(A116)</f>
        <v>51</v>
      </c>
    </row>
    <row r="117" spans="1:4" ht="15.75" thickBot="1" x14ac:dyDescent="0.3">
      <c r="A117" s="72"/>
      <c r="B117" s="73"/>
      <c r="D117" t="str" cm="1">
        <f t="array" ref="D117">BuildCounter(A117)</f>
        <v>52</v>
      </c>
    </row>
    <row r="118" spans="1:4" ht="15.75" thickBot="1" x14ac:dyDescent="0.3">
      <c r="A118" s="65"/>
      <c r="B118" s="66"/>
    </row>
    <row r="119" spans="1:4" ht="15.75" thickBot="1" x14ac:dyDescent="0.3">
      <c r="A119" s="65"/>
      <c r="B119" s="66"/>
    </row>
    <row r="120" spans="1:4" ht="15.75" thickBot="1" x14ac:dyDescent="0.3">
      <c r="A120" s="65"/>
      <c r="B120" s="66"/>
    </row>
    <row r="121" spans="1:4" ht="15.75" thickBot="1" x14ac:dyDescent="0.3">
      <c r="A121" s="65"/>
      <c r="B121" s="66"/>
    </row>
    <row r="122" spans="1:4" x14ac:dyDescent="0.25">
      <c r="A122" s="67"/>
      <c r="B122" s="68"/>
    </row>
    <row r="123" spans="1:4" ht="16.5" thickBot="1" x14ac:dyDescent="0.3">
      <c r="A123" s="69"/>
      <c r="B123" s="69"/>
    </row>
    <row r="124" spans="1:4" ht="15.75" thickBot="1" x14ac:dyDescent="0.3">
      <c r="A124" s="62"/>
      <c r="B124" s="64"/>
    </row>
    <row r="125" spans="1:4" ht="15.75" thickBot="1" x14ac:dyDescent="0.3">
      <c r="A125" s="62"/>
      <c r="B125" s="64"/>
    </row>
    <row r="126" spans="1:4" ht="15.75" thickBot="1" x14ac:dyDescent="0.3">
      <c r="A126" s="63"/>
      <c r="B126" s="63"/>
    </row>
    <row r="127" spans="1:4" ht="15.75" thickBot="1" x14ac:dyDescent="0.3">
      <c r="A127" s="63"/>
      <c r="B127" s="63"/>
    </row>
    <row r="128" spans="1:4" ht="15.75" thickBot="1" x14ac:dyDescent="0.3">
      <c r="A128" s="63"/>
      <c r="B128" s="63"/>
    </row>
    <row r="129" spans="1:2" ht="15.75" thickBot="1" x14ac:dyDescent="0.3">
      <c r="A129" s="63"/>
      <c r="B129" s="63"/>
    </row>
    <row r="130" spans="1:2" ht="15.75" thickBot="1" x14ac:dyDescent="0.3">
      <c r="A130" s="63"/>
      <c r="B130" s="63"/>
    </row>
    <row r="131" spans="1:2" ht="15.75" thickBot="1" x14ac:dyDescent="0.3">
      <c r="A131" s="62"/>
      <c r="B131" s="6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1FF96-EDB4-4C1D-AA9F-C8F7CE5645E4}">
  <sheetPr codeName="Sheet5"/>
  <dimension ref="A1:E131"/>
  <sheetViews>
    <sheetView topLeftCell="A119" workbookViewId="0">
      <selection activeCell="A105" sqref="A105:A131"/>
    </sheetView>
  </sheetViews>
  <sheetFormatPr defaultColWidth="78.7109375" defaultRowHeight="15" x14ac:dyDescent="0.25"/>
  <cols>
    <col min="1" max="1" width="18.85546875" customWidth="1"/>
    <col min="2" max="2" width="55" customWidth="1"/>
    <col min="3" max="3" width="17.28515625" customWidth="1"/>
    <col min="4" max="4" width="33.5703125" style="16" customWidth="1"/>
  </cols>
  <sheetData>
    <row r="1" spans="1:5" ht="24.75" thickBot="1" x14ac:dyDescent="0.3">
      <c r="A1" s="18" t="s">
        <v>1224</v>
      </c>
      <c r="B1" s="20" t="s">
        <v>1225</v>
      </c>
      <c r="C1" s="19"/>
      <c r="E1" t="str" cm="1">
        <f t="array" ref="E1">IF(IsBlackTotalCell(B1),_xlfn.CONCAT(BuildReportIdText(A1),"=sum"),D1)</f>
        <v>NUT_LBW=sum</v>
      </c>
    </row>
    <row r="2" spans="1:5" ht="15.75" thickBot="1" x14ac:dyDescent="0.3">
      <c r="A2" s="21" t="s">
        <v>1226</v>
      </c>
      <c r="B2" s="23" t="s">
        <v>1227</v>
      </c>
      <c r="C2" s="22"/>
      <c r="D2" t="s">
        <v>722</v>
      </c>
      <c r="E2" t="str" cm="1">
        <f t="array" ref="E2">IF(IsBlackTotalCell(B2),_xlfn.CONCAT(BuildReportIdText(A2),"=sum"),D2)</f>
        <v>NTR_LBW_1_</v>
      </c>
    </row>
    <row r="3" spans="1:5" ht="20.25" thickBot="1" x14ac:dyDescent="0.3">
      <c r="A3" s="21" t="s">
        <v>1228</v>
      </c>
      <c r="B3" s="23" t="s">
        <v>1229</v>
      </c>
      <c r="C3" s="22"/>
      <c r="D3" s="13" t="s">
        <v>724</v>
      </c>
      <c r="E3" t="str" cm="1">
        <f t="array" ref="E3">IF(IsBlackTotalCell(B3),_xlfn.CONCAT(BuildReportIdText(A3),"=sum"),D3)</f>
        <v>NTR_LBW_2_</v>
      </c>
    </row>
    <row r="4" spans="1:5" ht="15.75" thickBot="1" x14ac:dyDescent="0.3">
      <c r="A4" s="27" t="s">
        <v>1230</v>
      </c>
      <c r="B4" s="28" t="s">
        <v>1231</v>
      </c>
      <c r="C4" s="29" t="s">
        <v>380</v>
      </c>
      <c r="E4" t="str" cm="1">
        <f t="array" ref="E4">IF(IsBlackTotalCell(B4),_xlfn.CONCAT(BuildReportIdText(A4),"=sum"),D4)</f>
        <v>NTR_GMP_1=sum</v>
      </c>
    </row>
    <row r="5" spans="1:5" ht="15.75" thickBot="1" x14ac:dyDescent="0.3">
      <c r="A5" s="21" t="s">
        <v>1232</v>
      </c>
      <c r="B5" s="23" t="s">
        <v>1233</v>
      </c>
      <c r="C5" s="22"/>
      <c r="D5" s="16" t="s">
        <v>294</v>
      </c>
      <c r="E5" t="str" cm="1">
        <f t="array" ref="E5">IF(IsBlackTotalCell(B5),_xlfn.CONCAT(BuildReportIdText(A5),"=sum"),D5)</f>
        <v>gmp_weighed_wfa_at_0_5_months</v>
      </c>
    </row>
    <row r="6" spans="1:5" ht="15.75" thickBot="1" x14ac:dyDescent="0.3">
      <c r="A6" s="21" t="s">
        <v>1234</v>
      </c>
      <c r="B6" s="23" t="s">
        <v>1235</v>
      </c>
      <c r="C6" s="22"/>
      <c r="D6" s="16" t="s">
        <v>296</v>
      </c>
      <c r="E6" t="str" cm="1">
        <f t="array" ref="E6">IF(IsBlackTotalCell(B6),_xlfn.CONCAT(BuildReportIdText(A6),"=sum"),D6)</f>
        <v>gmp_weighed_wfa_at_6_23_months</v>
      </c>
    </row>
    <row r="7" spans="1:5" ht="24.75" thickBot="1" x14ac:dyDescent="0.3">
      <c r="A7" s="27" t="s">
        <v>1236</v>
      </c>
      <c r="B7" s="28" t="s">
        <v>1237</v>
      </c>
      <c r="C7" s="29" t="s">
        <v>380</v>
      </c>
      <c r="E7" t="str" cm="1">
        <f t="array" ref="E7">IF(IsBlackTotalCell(B7),_xlfn.CONCAT(BuildReportIdText(A7),"=sum"),D7)</f>
        <v>NUT_GMP_MM_1=sum</v>
      </c>
    </row>
    <row r="8" spans="1:5" ht="15.75" thickBot="1" x14ac:dyDescent="0.3">
      <c r="A8" s="21" t="s">
        <v>1238</v>
      </c>
      <c r="B8" s="23" t="s">
        <v>1233</v>
      </c>
      <c r="C8" s="22"/>
      <c r="D8" s="16" t="s">
        <v>298</v>
      </c>
      <c r="E8" t="str" cm="1">
        <f t="array" ref="E8">IF(IsBlackTotalCell(B8),_xlfn.CONCAT(BuildReportIdText(A8),"=sum"),D8)</f>
        <v>moderate_wfa_at_0_5_months</v>
      </c>
    </row>
    <row r="9" spans="1:5" ht="15.75" thickBot="1" x14ac:dyDescent="0.3">
      <c r="A9" s="21" t="s">
        <v>1239</v>
      </c>
      <c r="B9" s="23" t="s">
        <v>1235</v>
      </c>
      <c r="C9" s="22"/>
      <c r="D9" s="16" t="s">
        <v>300</v>
      </c>
      <c r="E9" t="str" cm="1">
        <f t="array" ref="E9">IF(IsBlackTotalCell(B9),_xlfn.CONCAT(BuildReportIdText(A9),"=sum"),D9)</f>
        <v>moderate_wfa_at_6_23_months</v>
      </c>
    </row>
    <row r="10" spans="1:5" ht="24.75" thickBot="1" x14ac:dyDescent="0.3">
      <c r="A10" s="27" t="s">
        <v>1240</v>
      </c>
      <c r="B10" s="28" t="s">
        <v>1241</v>
      </c>
      <c r="C10" s="29" t="s">
        <v>380</v>
      </c>
      <c r="E10" t="str" cm="1">
        <f t="array" ref="E10">IF(IsBlackTotalCell(B10),_xlfn.CONCAT(BuildReportIdText(A10),"=sum"),D10)</f>
        <v>NUT_GMP_SM=sum</v>
      </c>
    </row>
    <row r="11" spans="1:5" ht="15.75" thickBot="1" x14ac:dyDescent="0.3">
      <c r="A11" s="21" t="s">
        <v>1242</v>
      </c>
      <c r="B11" s="23" t="s">
        <v>1233</v>
      </c>
      <c r="C11" s="22"/>
      <c r="D11" s="16" t="s">
        <v>302</v>
      </c>
      <c r="E11" t="str" cm="1">
        <f t="array" ref="E11">IF(IsBlackTotalCell(B11),_xlfn.CONCAT(BuildReportIdText(A11),"=sum"),D11)</f>
        <v>severe_wfa_at_0_5_months</v>
      </c>
    </row>
    <row r="12" spans="1:5" ht="15.75" thickBot="1" x14ac:dyDescent="0.3">
      <c r="A12" s="21" t="s">
        <v>1243</v>
      </c>
      <c r="B12" s="23" t="s">
        <v>1235</v>
      </c>
      <c r="C12" s="22"/>
      <c r="D12" s="16" t="s">
        <v>304</v>
      </c>
      <c r="E12" t="str" cm="1">
        <f t="array" ref="E12">IF(IsBlackTotalCell(B12),_xlfn.CONCAT(BuildReportIdText(A12),"=sum"),D12)</f>
        <v>severe_wfa_at_6_23_months</v>
      </c>
    </row>
    <row r="13" spans="1:5" ht="15.75" thickBot="1" x14ac:dyDescent="0.3">
      <c r="A13" s="24" t="s">
        <v>1244</v>
      </c>
      <c r="B13" s="26"/>
      <c r="C13" s="25"/>
      <c r="E13" t="str" cm="1">
        <f t="array" ref="E13">IF(IsBlackTotalCell(B13),_xlfn.CONCAT(BuildReportIdText(A13),"=sum"),D13)</f>
        <v>NCH_NTR_VAS=sum</v>
      </c>
    </row>
    <row r="14" spans="1:5" ht="24.75" thickBot="1" x14ac:dyDescent="0.3">
      <c r="A14" s="27" t="s">
        <v>1245</v>
      </c>
      <c r="B14" s="26" t="s">
        <v>1246</v>
      </c>
      <c r="C14" s="29"/>
      <c r="D14" s="16" t="s">
        <v>144</v>
      </c>
      <c r="E14" t="str" cm="1">
        <f t="array" ref="E14">IF(IsBlackTotalCell(B14),_xlfn.CONCAT(BuildReportIdText(A14),"=sum"),D14)</f>
        <v>NUT_VITA=sum</v>
      </c>
    </row>
    <row r="15" spans="1:5" ht="24.75" thickBot="1" x14ac:dyDescent="0.3">
      <c r="A15" s="27" t="s">
        <v>1247</v>
      </c>
      <c r="B15" s="28" t="s">
        <v>1248</v>
      </c>
      <c r="C15" s="29" t="s">
        <v>380</v>
      </c>
      <c r="D15" s="16" t="s">
        <v>333</v>
      </c>
      <c r="E15" t="str" cm="1">
        <f t="array" ref="E15">IF(IsBlackTotalCell(B15),_xlfn.CONCAT(BuildReportIdText(A15),"=sum"),D15)</f>
        <v>NUT_VITA_2=sum</v>
      </c>
    </row>
    <row r="16" spans="1:5" ht="15.75" thickBot="1" x14ac:dyDescent="0.3">
      <c r="A16" s="21" t="s">
        <v>1249</v>
      </c>
      <c r="B16" s="23" t="s">
        <v>1250</v>
      </c>
      <c r="C16" s="22"/>
      <c r="D16" s="16" t="s">
        <v>136</v>
      </c>
      <c r="E16" t="str" cm="1">
        <f t="array" ref="E16">IF(IsBlackTotalCell(B16),_xlfn.CONCAT(BuildReportIdText(A16),"=sum"),D16)</f>
        <v>NTR_VAS_2_1</v>
      </c>
    </row>
    <row r="17" spans="1:5" ht="15.75" thickBot="1" x14ac:dyDescent="0.3">
      <c r="A17" s="27" t="s">
        <v>1252</v>
      </c>
      <c r="B17" s="28" t="s">
        <v>1253</v>
      </c>
      <c r="C17" s="29" t="s">
        <v>380</v>
      </c>
      <c r="E17" t="str" cm="1">
        <f t="array" ref="E17">IF(IsBlackTotalCell(B17),_xlfn.CONCAT(BuildReportIdText(A17),"=sum"),D17)</f>
        <v>NUT_DeW_1=sum</v>
      </c>
    </row>
    <row r="18" spans="1:5" ht="15.75" thickBot="1" x14ac:dyDescent="0.3">
      <c r="A18" s="21" t="s">
        <v>1254</v>
      </c>
      <c r="B18" s="23" t="s">
        <v>1250</v>
      </c>
      <c r="C18" s="22"/>
      <c r="D18" s="16" t="s">
        <v>746</v>
      </c>
      <c r="E18" t="str" cm="1">
        <f t="array" ref="E18">IF(IsBlackTotalCell(B18),_xlfn.CONCAT(BuildReportIdText(A18),"=sum"),D18)</f>
        <v>NUT_DeW_1_1</v>
      </c>
    </row>
    <row r="19" spans="1:5" ht="15.75" thickBot="1" x14ac:dyDescent="0.3">
      <c r="A19" s="21" t="s">
        <v>1255</v>
      </c>
      <c r="B19" s="23" t="s">
        <v>1251</v>
      </c>
      <c r="C19" s="22"/>
      <c r="D19" s="16" t="s">
        <v>748</v>
      </c>
      <c r="E19" t="str" cm="1">
        <f t="array" ref="E19">IF(IsBlackTotalCell(B19),_xlfn.CONCAT(BuildReportIdText(A19),"=sum"),D19)</f>
        <v>NUT_DeW_1_2</v>
      </c>
    </row>
    <row r="20" spans="1:5" ht="15.75" thickBot="1" x14ac:dyDescent="0.3">
      <c r="A20" s="21" t="s">
        <v>1256</v>
      </c>
      <c r="B20" s="23" t="s">
        <v>1257</v>
      </c>
      <c r="C20" s="22"/>
      <c r="D20" s="16" t="s">
        <v>750</v>
      </c>
      <c r="E20" t="str" cm="1">
        <f t="array" ref="E20">IF(IsBlackTotalCell(B20),_xlfn.CONCAT(BuildReportIdText(A20),"=sum"),D20)</f>
        <v>NUT_DeW_2</v>
      </c>
    </row>
    <row r="21" spans="1:5" ht="15.75" thickBot="1" x14ac:dyDescent="0.3">
      <c r="A21" s="27" t="s">
        <v>1258</v>
      </c>
      <c r="B21" s="28" t="s">
        <v>1259</v>
      </c>
      <c r="C21" s="29" t="s">
        <v>380</v>
      </c>
      <c r="D21" s="16" t="s">
        <v>329</v>
      </c>
      <c r="E21" t="str" cm="1">
        <f t="array" ref="E21">IF(IsBlackTotalCell(B21),_xlfn.CONCAT(BuildReportIdText(A21),"=sum"),D21)</f>
        <v>NUT_IFA_1=sum</v>
      </c>
    </row>
    <row r="22" spans="1:5" ht="15.75" thickBot="1" x14ac:dyDescent="0.3">
      <c r="A22" s="21" t="s">
        <v>1260</v>
      </c>
      <c r="B22" s="23" t="s">
        <v>1261</v>
      </c>
      <c r="C22" s="22"/>
      <c r="D22" s="16" t="s">
        <v>752</v>
      </c>
      <c r="E22" t="str" cm="1">
        <f t="array" ref="E22">IF(IsBlackTotalCell(B22),_xlfn.CONCAT(BuildReportIdText(A22),"=sum"),D22)</f>
        <v>NUT_IFA_1_1</v>
      </c>
    </row>
    <row r="23" spans="1:5" ht="15.75" thickBot="1" x14ac:dyDescent="0.3">
      <c r="A23" s="21" t="s">
        <v>1262</v>
      </c>
      <c r="B23" s="23" t="s">
        <v>1263</v>
      </c>
      <c r="C23" s="22"/>
      <c r="D23" s="16" t="s">
        <v>754</v>
      </c>
      <c r="E23" t="str" cm="1">
        <f t="array" ref="E23">IF(IsBlackTotalCell(B23),_xlfn.CONCAT(BuildReportIdText(A23),"=sum"),D23)</f>
        <v>NUT_IFA_1_2</v>
      </c>
    </row>
    <row r="24" spans="1:5" ht="15.75" thickBot="1" x14ac:dyDescent="0.3">
      <c r="A24" s="21" t="s">
        <v>1264</v>
      </c>
      <c r="B24" s="23" t="s">
        <v>1265</v>
      </c>
      <c r="C24" s="22"/>
      <c r="D24" s="16" t="s">
        <v>756</v>
      </c>
      <c r="E24" t="str" cm="1">
        <f t="array" ref="E24">IF(IsBlackTotalCell(B24),_xlfn.CONCAT(BuildReportIdText(A24),"=sum"),D24)</f>
        <v>NUT_IFA_1_3</v>
      </c>
    </row>
    <row r="25" spans="1:5" ht="24.75" thickBot="1" x14ac:dyDescent="0.3">
      <c r="A25" s="27" t="s">
        <v>1266</v>
      </c>
      <c r="B25" s="28" t="s">
        <v>1267</v>
      </c>
      <c r="C25" s="29" t="s">
        <v>380</v>
      </c>
      <c r="E25" t="str" cm="1">
        <f t="array" ref="E25">IF(IsBlackTotalCell(B25),_xlfn.CONCAT(BuildReportIdText(A25),"=sum"),D25)</f>
        <v>NUT_PreSMN_1=sum</v>
      </c>
    </row>
    <row r="26" spans="1:5" ht="15.75" thickBot="1" x14ac:dyDescent="0.3">
      <c r="A26" s="21" t="s">
        <v>1268</v>
      </c>
      <c r="B26" s="23" t="s">
        <v>1269</v>
      </c>
      <c r="C26" s="22"/>
      <c r="D26" s="16" t="s">
        <v>325</v>
      </c>
      <c r="E26" t="str" cm="1">
        <f t="array" ref="E26">IF(IsBlackTotalCell(B26),_xlfn.CONCAT(BuildReportIdText(A26),"=sum"),D26)</f>
        <v>malnutrition_screened_plw_less_23</v>
      </c>
    </row>
    <row r="27" spans="1:5" ht="15.75" thickBot="1" x14ac:dyDescent="0.3">
      <c r="A27" s="21" t="s">
        <v>1270</v>
      </c>
      <c r="B27" s="23" t="s">
        <v>1271</v>
      </c>
      <c r="C27" s="22"/>
      <c r="D27" s="16" t="s">
        <v>327</v>
      </c>
      <c r="E27" t="str" cm="1">
        <f t="array" ref="E27">IF(IsBlackTotalCell(B27),_xlfn.CONCAT(BuildReportIdText(A27),"=sum"),D27)</f>
        <v>malnutrition_screened_plw_23_or_more</v>
      </c>
    </row>
    <row r="28" spans="1:5" ht="24.75" thickBot="1" x14ac:dyDescent="0.3">
      <c r="A28" s="27" t="s">
        <v>1272</v>
      </c>
      <c r="B28" s="28" t="s">
        <v>1273</v>
      </c>
      <c r="C28" s="29" t="s">
        <v>380</v>
      </c>
      <c r="E28" t="str" cm="1">
        <f t="array" ref="E28">IF(IsBlackTotalCell(B28),_xlfn.CONCAT(BuildReportIdText(A28),"=sum"),D28)</f>
        <v>NUT_PreSMN_2=sum</v>
      </c>
    </row>
    <row r="29" spans="1:5" ht="20.25" thickBot="1" x14ac:dyDescent="0.3">
      <c r="A29" s="21" t="s">
        <v>1274</v>
      </c>
      <c r="B29" s="23" t="s">
        <v>1275</v>
      </c>
      <c r="C29" s="22"/>
      <c r="D29" s="13" t="s">
        <v>764</v>
      </c>
      <c r="E29" t="str" cm="1">
        <f t="array" ref="E29">IF(IsBlackTotalCell(B29),_xlfn.CONCAT(BuildReportIdText(A29),"=sum"),D29)</f>
        <v>NUT_PreSMN_2_1</v>
      </c>
    </row>
    <row r="30" spans="1:5" ht="20.25" thickBot="1" x14ac:dyDescent="0.3">
      <c r="A30" s="21" t="s">
        <v>1276</v>
      </c>
      <c r="B30" s="23" t="s">
        <v>1277</v>
      </c>
      <c r="C30" s="22"/>
      <c r="D30" s="13" t="s">
        <v>766</v>
      </c>
      <c r="E30" t="str" cm="1">
        <f t="array" ref="E30">IF(IsBlackTotalCell(B30),_xlfn.CONCAT(BuildReportIdText(A30),"=sum"),D30)</f>
        <v>NUT_PreSMN_2_2</v>
      </c>
    </row>
    <row r="31" spans="1:5" ht="15.75" thickBot="1" x14ac:dyDescent="0.3">
      <c r="A31" s="27" t="s">
        <v>1278</v>
      </c>
      <c r="B31" s="28" t="s">
        <v>1279</v>
      </c>
      <c r="C31" s="29" t="s">
        <v>380</v>
      </c>
      <c r="E31" t="str" cm="1">
        <f t="array" ref="E31">IF(IsBlackTotalCell(B31),_xlfn.CONCAT(BuildReportIdText(A31),"=sum"),D31)</f>
        <v>NUT_U5SMN=sum</v>
      </c>
    </row>
    <row r="32" spans="1:5" ht="20.25" thickBot="1" x14ac:dyDescent="0.3">
      <c r="A32" s="21" t="s">
        <v>1280</v>
      </c>
      <c r="B32" s="23" t="s">
        <v>1233</v>
      </c>
      <c r="C32" s="22"/>
      <c r="D32" s="13" t="s">
        <v>780</v>
      </c>
      <c r="E32" t="str" cm="1">
        <f t="array" ref="E32">IF(IsBlackTotalCell(B32),_xlfn.CONCAT(BuildReportIdText(A32),"=sum"),D32)</f>
        <v>NUT_U5SMN_SAM_1_1</v>
      </c>
    </row>
    <row r="33" spans="1:5" ht="20.25" thickBot="1" x14ac:dyDescent="0.3">
      <c r="A33" s="21" t="s">
        <v>1281</v>
      </c>
      <c r="B33" s="23" t="s">
        <v>1235</v>
      </c>
      <c r="C33" s="22"/>
      <c r="D33" s="13" t="s">
        <v>782</v>
      </c>
      <c r="E33" t="str" cm="1">
        <f t="array" ref="E33">IF(IsBlackTotalCell(B33),_xlfn.CONCAT(BuildReportIdText(A33),"=sum"),D33)</f>
        <v>NUT_U5SMN_SAM_1_2</v>
      </c>
    </row>
    <row r="34" spans="1:5" ht="20.25" thickBot="1" x14ac:dyDescent="0.3">
      <c r="A34" s="21" t="s">
        <v>1282</v>
      </c>
      <c r="B34" s="23" t="s">
        <v>1283</v>
      </c>
      <c r="C34" s="22"/>
      <c r="D34" s="13" t="s">
        <v>784</v>
      </c>
      <c r="E34" t="str" cm="1">
        <f t="array" ref="E34">IF(IsBlackTotalCell(B34),_xlfn.CONCAT(BuildReportIdText(A34),"=sum"),D34)</f>
        <v>NUT_U5SMN_SAM_1_3</v>
      </c>
    </row>
    <row r="35" spans="1:5" ht="25.15" customHeight="1" thickBot="1" x14ac:dyDescent="0.3">
      <c r="A35" s="27" t="s">
        <v>1284</v>
      </c>
      <c r="B35" s="28" t="s">
        <v>1285</v>
      </c>
      <c r="C35" s="29" t="s">
        <v>380</v>
      </c>
      <c r="E35" t="str" cm="1">
        <f t="array" ref="E35">IF(IsBlackTotalCell(B35),_xlfn.CONCAT(BuildReportIdText(A35),"=sum"),D35)</f>
        <v>NUT_U5SMN_MAM_1=sum</v>
      </c>
    </row>
    <row r="36" spans="1:5" ht="24.75" thickBot="1" x14ac:dyDescent="0.3">
      <c r="A36" s="21" t="s">
        <v>1286</v>
      </c>
      <c r="B36" s="23" t="s">
        <v>1233</v>
      </c>
      <c r="C36" s="22"/>
      <c r="D36" s="16" t="s">
        <v>298</v>
      </c>
      <c r="E36" t="str" cm="1">
        <f t="array" ref="E36">IF(IsBlackTotalCell(B36),_xlfn.CONCAT(BuildReportIdText(A36),"=sum"),D36)</f>
        <v>moderate_wfa_at_0_5_months</v>
      </c>
    </row>
    <row r="37" spans="1:5" ht="24.75" thickBot="1" x14ac:dyDescent="0.3">
      <c r="A37" s="21" t="s">
        <v>1287</v>
      </c>
      <c r="B37" s="23" t="s">
        <v>1235</v>
      </c>
      <c r="C37" s="22"/>
      <c r="D37" s="16" t="s">
        <v>300</v>
      </c>
      <c r="E37" t="str" cm="1">
        <f t="array" ref="E37">IF(IsBlackTotalCell(B37),_xlfn.CONCAT(BuildReportIdText(A37),"=sum"),D37)</f>
        <v>moderate_wfa_at_6_23_months</v>
      </c>
    </row>
    <row r="38" spans="1:5" ht="24.75" thickBot="1" x14ac:dyDescent="0.3">
      <c r="A38" s="21" t="s">
        <v>1288</v>
      </c>
      <c r="B38" s="23" t="s">
        <v>1283</v>
      </c>
      <c r="C38" s="22"/>
      <c r="D38" s="13" t="s">
        <v>778</v>
      </c>
      <c r="E38" t="str" cm="1">
        <f t="array" ref="E38">IF(IsBlackTotalCell(B38),_xlfn.CONCAT(BuildReportIdText(A38),"=sum"),D38)</f>
        <v>NUT_U5SMN_MAM_1_3</v>
      </c>
    </row>
    <row r="39" spans="1:5" ht="24.75" thickBot="1" x14ac:dyDescent="0.3">
      <c r="A39" s="27" t="s">
        <v>1289</v>
      </c>
      <c r="B39" s="28" t="s">
        <v>1290</v>
      </c>
      <c r="C39" s="29" t="s">
        <v>380</v>
      </c>
      <c r="E39" t="str" cm="1">
        <f t="array" ref="E39">IF(IsBlackTotalCell(B39),_xlfn.CONCAT(BuildReportIdText(A39),"=sum"),D39)</f>
        <v>NUT_U5SMN_SAM_1=sum</v>
      </c>
    </row>
    <row r="40" spans="1:5" ht="24.75" thickBot="1" x14ac:dyDescent="0.3">
      <c r="A40" s="21" t="s">
        <v>1291</v>
      </c>
      <c r="B40" s="23" t="s">
        <v>1233</v>
      </c>
      <c r="C40" s="22"/>
      <c r="D40" s="16" t="s">
        <v>302</v>
      </c>
      <c r="E40" t="str" cm="1">
        <f t="array" ref="E40">IF(IsBlackTotalCell(B40),_xlfn.CONCAT(BuildReportIdText(A40),"=sum"),D40)</f>
        <v>severe_wfa_at_0_5_months</v>
      </c>
    </row>
    <row r="41" spans="1:5" ht="24.75" thickBot="1" x14ac:dyDescent="0.3">
      <c r="A41" s="21" t="s">
        <v>1292</v>
      </c>
      <c r="B41" s="23" t="s">
        <v>1235</v>
      </c>
      <c r="C41" s="22"/>
      <c r="D41" s="16" t="s">
        <v>304</v>
      </c>
      <c r="E41" t="str" cm="1">
        <f t="array" ref="E41">IF(IsBlackTotalCell(B41),_xlfn.CONCAT(BuildReportIdText(A41),"=sum"),D41)</f>
        <v>severe_wfa_at_6_23_months</v>
      </c>
    </row>
    <row r="42" spans="1:5" ht="24.75" thickBot="1" x14ac:dyDescent="0.3">
      <c r="A42" s="21" t="s">
        <v>1293</v>
      </c>
      <c r="B42" s="23" t="s">
        <v>1283</v>
      </c>
      <c r="C42" s="22"/>
      <c r="D42" s="13" t="s">
        <v>784</v>
      </c>
      <c r="E42" t="str" cm="1">
        <f t="array" ref="E42">IF(IsBlackTotalCell(B42),_xlfn.CONCAT(BuildReportIdText(A42),"=sum"),D42)</f>
        <v>NUT_U5SMN_SAM_1_3</v>
      </c>
    </row>
    <row r="43" spans="1:5" ht="27.75" thickBot="1" x14ac:dyDescent="0.3">
      <c r="A43" s="52" t="s">
        <v>1294</v>
      </c>
      <c r="B43" s="53" t="s">
        <v>1307</v>
      </c>
      <c r="D43" s="40" t="s">
        <v>264</v>
      </c>
      <c r="E43" t="str" cm="1">
        <f t="array" ref="E43">IF(IsBlackTotalCell(B43),_xlfn.CONCAT(BuildReportIdText(A43),"=sum"),D43)</f>
        <v>NTR_GMP=sum</v>
      </c>
    </row>
    <row r="44" spans="1:5" ht="15.75" thickBot="1" x14ac:dyDescent="0.3">
      <c r="A44" s="33" t="s">
        <v>1308</v>
      </c>
      <c r="B44" s="31" t="s">
        <v>1233</v>
      </c>
      <c r="D44" s="32" t="s">
        <v>726</v>
      </c>
      <c r="E44" t="str" cm="1">
        <f t="array" ref="E44">IF(IsBlackTotalCell(B44),_xlfn.CONCAT(BuildReportIdText(A44),"=sum"),D44)</f>
        <v>NTR_GMP_1</v>
      </c>
    </row>
    <row r="45" spans="1:5" ht="15.75" thickBot="1" x14ac:dyDescent="0.3">
      <c r="A45" s="33" t="s">
        <v>1309</v>
      </c>
      <c r="B45" s="31" t="s">
        <v>1235</v>
      </c>
      <c r="D45" s="32" t="s">
        <v>728</v>
      </c>
      <c r="E45" t="str" cm="1">
        <f t="array" ref="E45">IF(IsBlackTotalCell(B45),_xlfn.CONCAT(BuildReportIdText(A45),"=sum"),D45)</f>
        <v>NTR_GMP_2</v>
      </c>
    </row>
    <row r="46" spans="1:5" ht="41.25" thickBot="1" x14ac:dyDescent="0.3">
      <c r="A46" s="52" t="s">
        <v>1310</v>
      </c>
      <c r="B46" s="53" t="s">
        <v>1311</v>
      </c>
      <c r="D46" s="40"/>
      <c r="E46" t="str" cm="1">
        <f t="array" ref="E46">IF(IsBlackTotalCell(B46),_xlfn.CONCAT(BuildReportIdText(A46),"=sum"),D46)</f>
        <v>NTR_GMP_MM=sum</v>
      </c>
    </row>
    <row r="47" spans="1:5" ht="15.75" thickBot="1" x14ac:dyDescent="0.3">
      <c r="A47" s="33" t="s">
        <v>1312</v>
      </c>
      <c r="B47" s="31" t="s">
        <v>1233</v>
      </c>
      <c r="D47" s="32" t="s">
        <v>730</v>
      </c>
      <c r="E47" t="str" cm="1">
        <f t="array" ref="E47">IF(IsBlackTotalCell(B47),_xlfn.CONCAT(BuildReportIdText(A47),"=sum"),D47)</f>
        <v>NTR_GMP_MM_1</v>
      </c>
    </row>
    <row r="48" spans="1:5" ht="15.75" thickBot="1" x14ac:dyDescent="0.3">
      <c r="A48" s="33" t="s">
        <v>1313</v>
      </c>
      <c r="B48" s="31" t="s">
        <v>1235</v>
      </c>
      <c r="D48" s="32" t="s">
        <v>732</v>
      </c>
      <c r="E48" t="str" cm="1">
        <f t="array" ref="E48">IF(IsBlackTotalCell(B48),_xlfn.CONCAT(BuildReportIdText(A48),"=sum"),D48)</f>
        <v>NTR_GMP_MM_2</v>
      </c>
    </row>
    <row r="49" spans="1:5" ht="41.25" thickBot="1" x14ac:dyDescent="0.3">
      <c r="A49" s="52" t="s">
        <v>1314</v>
      </c>
      <c r="B49" s="53" t="s">
        <v>1315</v>
      </c>
      <c r="D49" s="40" t="s">
        <v>734</v>
      </c>
      <c r="E49" t="str" cm="1">
        <f t="array" ref="E49">IF(IsBlackTotalCell(B49),_xlfn.CONCAT(BuildReportIdText(A49),"=sum"),D49)</f>
        <v>GMP_SM=sum</v>
      </c>
    </row>
    <row r="50" spans="1:5" ht="15.75" thickBot="1" x14ac:dyDescent="0.3">
      <c r="A50" s="33" t="s">
        <v>1316</v>
      </c>
      <c r="B50" s="31" t="s">
        <v>1233</v>
      </c>
      <c r="D50" s="32" t="s">
        <v>734</v>
      </c>
      <c r="E50" t="str" cm="1">
        <f t="array" ref="E50">IF(IsBlackTotalCell(B50),_xlfn.CONCAT(BuildReportIdText(A50),"=sum"),D50)</f>
        <v>GMP_SM_1</v>
      </c>
    </row>
    <row r="51" spans="1:5" ht="15.75" thickBot="1" x14ac:dyDescent="0.3">
      <c r="A51" s="33" t="s">
        <v>1317</v>
      </c>
      <c r="B51" s="31" t="s">
        <v>1235</v>
      </c>
      <c r="D51" s="32" t="s">
        <v>736</v>
      </c>
      <c r="E51" t="str" cm="1">
        <f t="array" ref="E51">IF(IsBlackTotalCell(B51),_xlfn.CONCAT(BuildReportIdText(A51),"=sum"),D51)</f>
        <v>GMP_SM_2</v>
      </c>
    </row>
    <row r="52" spans="1:5" ht="28.5" thickBot="1" x14ac:dyDescent="0.3">
      <c r="A52" s="38" t="s">
        <v>1318</v>
      </c>
      <c r="B52" s="54" t="s">
        <v>1319</v>
      </c>
      <c r="D52" s="40"/>
      <c r="E52" t="str" cm="1">
        <f t="array" ref="E52">IF(IsBlackTotalCell(B52),_xlfn.CONCAT(BuildReportIdText(A52),"=sum"),D52)</f>
        <v>NUT_VITA_1=sum</v>
      </c>
    </row>
    <row r="53" spans="1:5" ht="15.75" thickBot="1" x14ac:dyDescent="0.3">
      <c r="A53" s="30" t="s">
        <v>1320</v>
      </c>
      <c r="B53" s="30" t="s">
        <v>1321</v>
      </c>
      <c r="D53" t="s">
        <v>738</v>
      </c>
      <c r="E53" t="str" cm="1">
        <f t="array" ref="E53">IF(IsBlackTotalCell(B53),_xlfn.CONCAT(BuildReportIdText(A53),"=sum"),D53)</f>
        <v>NUT_VITA_1_1</v>
      </c>
    </row>
    <row r="54" spans="1:5" ht="15.75" thickBot="1" x14ac:dyDescent="0.3">
      <c r="A54" s="30" t="s">
        <v>1322</v>
      </c>
      <c r="B54" s="30" t="s">
        <v>1323</v>
      </c>
      <c r="D54" t="s">
        <v>740</v>
      </c>
      <c r="E54" t="str" cm="1">
        <f t="array" ref="E54">IF(IsBlackTotalCell(B54),_xlfn.CONCAT(BuildReportIdText(A54),"=sum"),D54)</f>
        <v>NUT_VITA_1_2</v>
      </c>
    </row>
    <row r="55" spans="1:5" ht="24.75" thickBot="1" x14ac:dyDescent="0.3">
      <c r="A55" s="38" t="s">
        <v>1247</v>
      </c>
      <c r="B55" s="41" t="s">
        <v>1248</v>
      </c>
      <c r="D55" s="40"/>
      <c r="E55" t="str" cm="1">
        <f t="array" ref="E55">IF(IsBlackTotalCell(B55),_xlfn.CONCAT(BuildReportIdText(A55),"=sum"),D55)</f>
        <v>NUT_VITA_2=sum</v>
      </c>
    </row>
    <row r="56" spans="1:5" ht="15.75" thickBot="1" x14ac:dyDescent="0.3">
      <c r="A56" s="30" t="s">
        <v>1324</v>
      </c>
      <c r="B56" s="30" t="s">
        <v>1325</v>
      </c>
      <c r="D56" t="s">
        <v>742</v>
      </c>
      <c r="E56" t="str" cm="1">
        <f t="array" ref="E56">IF(IsBlackTotalCell(B56),_xlfn.CONCAT(BuildReportIdText(A56),"=sum"),D56)</f>
        <v>NUT_VITA_2_1</v>
      </c>
    </row>
    <row r="57" spans="1:5" ht="15.75" thickBot="1" x14ac:dyDescent="0.3">
      <c r="A57" s="30" t="s">
        <v>1326</v>
      </c>
      <c r="B57" s="30" t="s">
        <v>1327</v>
      </c>
      <c r="D57" t="s">
        <v>744</v>
      </c>
      <c r="E57" t="str" cm="1">
        <f t="array" ref="E57">IF(IsBlackTotalCell(B57),_xlfn.CONCAT(BuildReportIdText(A57),"=sum"),D57)</f>
        <v>NUT_VITA_2_2</v>
      </c>
    </row>
    <row r="58" spans="1:5" ht="27.75" thickBot="1" x14ac:dyDescent="0.3">
      <c r="A58" s="52" t="s">
        <v>758</v>
      </c>
      <c r="B58" s="53" t="s">
        <v>1328</v>
      </c>
      <c r="D58" s="40"/>
      <c r="E58" t="str" cm="1">
        <f t="array" ref="E58">IF(IsBlackTotalCell(B58),_xlfn.CONCAT(BuildReportIdText(A58),"=sum"),D58)</f>
        <v>PLW_S4AM=sum</v>
      </c>
    </row>
    <row r="59" spans="1:5" ht="15.75" thickBot="1" x14ac:dyDescent="0.3">
      <c r="A59" s="33" t="s">
        <v>1329</v>
      </c>
      <c r="B59" s="31" t="s">
        <v>1269</v>
      </c>
      <c r="D59" s="32" t="s">
        <v>760</v>
      </c>
      <c r="E59" t="str" cm="1">
        <f t="array" ref="E59">IF(IsBlackTotalCell(B59),_xlfn.CONCAT(BuildReportIdText(A59),"=sum"),D59)</f>
        <v>PLW_S4AM_1</v>
      </c>
    </row>
    <row r="60" spans="1:5" ht="15.75" thickBot="1" x14ac:dyDescent="0.3">
      <c r="A60" s="33" t="s">
        <v>1330</v>
      </c>
      <c r="B60" s="31" t="s">
        <v>1271</v>
      </c>
      <c r="D60" s="32" t="s">
        <v>762</v>
      </c>
      <c r="E60" t="str" cm="1">
        <f t="array" ref="E60">IF(IsBlackTotalCell(B60),_xlfn.CONCAT(BuildReportIdText(A60),"=sum"),D60)</f>
        <v>PLW_S4AM_2</v>
      </c>
    </row>
    <row r="61" spans="1:5" ht="27.75" thickBot="1" x14ac:dyDescent="0.3">
      <c r="A61" s="34" t="s">
        <v>1331</v>
      </c>
      <c r="B61" s="53" t="s">
        <v>1332</v>
      </c>
      <c r="D61" s="36"/>
      <c r="E61" t="str" cm="1">
        <f t="array" ref="E61">IF(IsBlackTotalCell(B61),_xlfn.CONCAT(BuildReportIdText(A61),"=sum"),D61)</f>
        <v>NUT_U5SMN_1=sum</v>
      </c>
    </row>
    <row r="62" spans="1:5" ht="15.75" thickBot="1" x14ac:dyDescent="0.3">
      <c r="A62" s="30" t="s">
        <v>1333</v>
      </c>
      <c r="B62" s="31" t="s">
        <v>1233</v>
      </c>
      <c r="D62" s="32" t="s">
        <v>768</v>
      </c>
      <c r="E62" t="str" cm="1">
        <f t="array" ref="E62">IF(IsBlackTotalCell(B62),_xlfn.CONCAT(BuildReportIdText(A62),"=sum"),D62)</f>
        <v>NUT_U5SMN_1_1</v>
      </c>
    </row>
    <row r="63" spans="1:5" ht="15.75" thickBot="1" x14ac:dyDescent="0.3">
      <c r="A63" s="30" t="s">
        <v>1334</v>
      </c>
      <c r="B63" s="31" t="s">
        <v>1235</v>
      </c>
      <c r="D63" s="32" t="s">
        <v>770</v>
      </c>
      <c r="E63" t="str" cm="1">
        <f t="array" ref="E63">IF(IsBlackTotalCell(B63),_xlfn.CONCAT(BuildReportIdText(A63),"=sum"),D63)</f>
        <v>NUT_U5SMN_1_2</v>
      </c>
    </row>
    <row r="64" spans="1:5" ht="15.75" thickBot="1" x14ac:dyDescent="0.3">
      <c r="A64" s="30" t="s">
        <v>1335</v>
      </c>
      <c r="B64" s="31" t="s">
        <v>1336</v>
      </c>
      <c r="D64" s="32" t="s">
        <v>772</v>
      </c>
      <c r="E64" t="str" cm="1">
        <f t="array" ref="E64">IF(IsBlackTotalCell(B64),_xlfn.CONCAT(BuildReportIdText(A64),"=sum"),D64)</f>
        <v>NUT_U5SMN_1_3</v>
      </c>
    </row>
    <row r="65" spans="1:5" ht="27.75" thickBot="1" x14ac:dyDescent="0.3">
      <c r="A65" s="34" t="s">
        <v>1284</v>
      </c>
      <c r="B65" s="53" t="s">
        <v>1337</v>
      </c>
      <c r="D65" s="36"/>
      <c r="E65" t="str" cm="1">
        <f t="array" ref="E65">IF(IsBlackTotalCell(B65),_xlfn.CONCAT(BuildReportIdText(A65),"=sum"),D65)</f>
        <v>NUT_U5SMN_MAM_1=sum</v>
      </c>
    </row>
    <row r="66" spans="1:5" ht="23.25" thickBot="1" x14ac:dyDescent="0.3">
      <c r="A66" s="30" t="s">
        <v>1338</v>
      </c>
      <c r="B66" s="31" t="s">
        <v>1233</v>
      </c>
      <c r="D66" s="32" t="s">
        <v>774</v>
      </c>
      <c r="E66" t="str" cm="1">
        <f t="array" ref="E66">IF(IsBlackTotalCell(B66),_xlfn.CONCAT(BuildReportIdText(A66),"=sum"),D66)</f>
        <v>NUT_U5SMN_MAM_1_1</v>
      </c>
    </row>
    <row r="67" spans="1:5" ht="23.25" thickBot="1" x14ac:dyDescent="0.3">
      <c r="A67" s="30" t="s">
        <v>1339</v>
      </c>
      <c r="B67" s="31" t="s">
        <v>1235</v>
      </c>
      <c r="D67" s="32" t="s">
        <v>776</v>
      </c>
      <c r="E67" t="str" cm="1">
        <f t="array" ref="E67">IF(IsBlackTotalCell(B67),_xlfn.CONCAT(BuildReportIdText(A67),"=sum"),D67)</f>
        <v>NUT_U5SMN_MAM_1_2</v>
      </c>
    </row>
    <row r="68" spans="1:5" ht="23.25" thickBot="1" x14ac:dyDescent="0.3">
      <c r="A68" s="30" t="s">
        <v>1340</v>
      </c>
      <c r="B68" s="31" t="s">
        <v>1336</v>
      </c>
      <c r="D68" s="32" t="s">
        <v>778</v>
      </c>
      <c r="E68" t="str" cm="1">
        <f t="array" ref="E68">IF(IsBlackTotalCell(B68),_xlfn.CONCAT(BuildReportIdText(A68),"=sum"),D68)</f>
        <v>NUT_U5SMN_MAM_1_3</v>
      </c>
    </row>
    <row r="69" spans="1:5" ht="36.75" thickBot="1" x14ac:dyDescent="0.3">
      <c r="A69" s="38" t="s">
        <v>1341</v>
      </c>
      <c r="B69" s="39" t="s">
        <v>1342</v>
      </c>
      <c r="D69" s="40"/>
      <c r="E69" t="str" cm="1">
        <f t="array" ref="E69">IF(IsBlackTotalCell(B69),_xlfn.CONCAT(BuildReportIdText(A69),"=sum"),D69)</f>
        <v>NUT_TX_U5MN_SAM_Beging_SC_1=sum</v>
      </c>
    </row>
    <row r="70" spans="1:5" ht="34.5" thickBot="1" x14ac:dyDescent="0.3">
      <c r="A70" s="30" t="s">
        <v>1343</v>
      </c>
      <c r="B70" s="30" t="s">
        <v>1344</v>
      </c>
      <c r="D70" s="32" t="s">
        <v>786</v>
      </c>
      <c r="E70" t="str" cm="1">
        <f t="array" ref="E70">IF(IsBlackTotalCell(B70),_xlfn.CONCAT(BuildReportIdText(A70),"=sum"),D70)</f>
        <v>NUT_TX-U5MN_SAM_Beging_SC_1_1</v>
      </c>
    </row>
    <row r="71" spans="1:5" ht="34.5" thickBot="1" x14ac:dyDescent="0.3">
      <c r="A71" s="30" t="s">
        <v>1345</v>
      </c>
      <c r="B71" s="30" t="s">
        <v>1346</v>
      </c>
      <c r="D71" s="32" t="s">
        <v>788</v>
      </c>
      <c r="E71" t="str" cm="1">
        <f t="array" ref="E71">IF(IsBlackTotalCell(B71),_xlfn.CONCAT(BuildReportIdText(A71),"=sum"),D71)</f>
        <v>NUT_TX-U5MN_SAM_Beging_SC_1_2</v>
      </c>
    </row>
    <row r="72" spans="1:5" ht="34.5" thickBot="1" x14ac:dyDescent="0.3">
      <c r="A72" s="30" t="s">
        <v>1347</v>
      </c>
      <c r="B72" s="30" t="s">
        <v>1348</v>
      </c>
      <c r="D72" s="32" t="s">
        <v>790</v>
      </c>
      <c r="E72" t="str" cm="1">
        <f t="array" ref="E72">IF(IsBlackTotalCell(B72),_xlfn.CONCAT(BuildReportIdText(A72),"=sum"),D72)</f>
        <v>NUT_TX-U5MN_SAM_Beging_SC_1_3</v>
      </c>
    </row>
    <row r="73" spans="1:5" ht="36.75" thickBot="1" x14ac:dyDescent="0.3">
      <c r="A73" s="38" t="s">
        <v>1349</v>
      </c>
      <c r="B73" s="39" t="s">
        <v>1350</v>
      </c>
      <c r="D73" s="40"/>
      <c r="E73" t="str" cm="1">
        <f t="array" ref="E73">IF(IsBlackTotalCell(B73),_xlfn.CONCAT(BuildReportIdText(A73),"=sum"),D73)</f>
        <v>NUT_TX_U5MN_SAM_Adt_SC_2=sum</v>
      </c>
    </row>
    <row r="74" spans="1:5" ht="34.5" thickBot="1" x14ac:dyDescent="0.3">
      <c r="A74" s="30" t="s">
        <v>1351</v>
      </c>
      <c r="B74" s="30" t="s">
        <v>1344</v>
      </c>
      <c r="D74" s="32" t="s">
        <v>792</v>
      </c>
      <c r="E74" t="str" cm="1">
        <f t="array" ref="E74">IF(IsBlackTotalCell(B74),_xlfn.CONCAT(BuildReportIdText(A74),"=sum"),D74)</f>
        <v>NUT_TX-U5MN_SAM__Adt_SC_2_1</v>
      </c>
    </row>
    <row r="75" spans="1:5" ht="34.5" thickBot="1" x14ac:dyDescent="0.3">
      <c r="A75" s="30" t="s">
        <v>1352</v>
      </c>
      <c r="B75" s="30" t="s">
        <v>1346</v>
      </c>
      <c r="D75" s="32" t="s">
        <v>794</v>
      </c>
      <c r="E75" t="str" cm="1">
        <f t="array" ref="E75">IF(IsBlackTotalCell(B75),_xlfn.CONCAT(BuildReportIdText(A75),"=sum"),D75)</f>
        <v>NUT_TX-U5MN_SAM__Adt_SC_2_2</v>
      </c>
    </row>
    <row r="76" spans="1:5" ht="34.5" thickBot="1" x14ac:dyDescent="0.3">
      <c r="A76" s="30" t="s">
        <v>1353</v>
      </c>
      <c r="B76" s="30" t="s">
        <v>1348</v>
      </c>
      <c r="D76" s="32" t="s">
        <v>796</v>
      </c>
      <c r="E76" t="str" cm="1">
        <f t="array" ref="E76">IF(IsBlackTotalCell(B76),_xlfn.CONCAT(BuildReportIdText(A76),"=sum"),D76)</f>
        <v>NUT_TX-U5MN_SAM__Adt_SC_2_3</v>
      </c>
    </row>
    <row r="77" spans="1:5" ht="36.75" thickBot="1" x14ac:dyDescent="0.3">
      <c r="A77" s="38" t="s">
        <v>1354</v>
      </c>
      <c r="B77" s="39" t="s">
        <v>1355</v>
      </c>
      <c r="D77" s="40"/>
      <c r="E77" t="str" cm="1">
        <f t="array" ref="E77">IF(IsBlackTotalCell(B77),_xlfn.CONCAT(BuildReportIdText(A77),"=sum"),D77)</f>
        <v>NUT_TX_U5MN_SAM_Stab_SC_3=sum</v>
      </c>
    </row>
    <row r="78" spans="1:5" ht="34.5" thickBot="1" x14ac:dyDescent="0.3">
      <c r="A78" s="30" t="s">
        <v>1356</v>
      </c>
      <c r="B78" s="30" t="s">
        <v>1344</v>
      </c>
      <c r="D78" s="32" t="s">
        <v>798</v>
      </c>
      <c r="E78" t="str" cm="1">
        <f t="array" ref="E78">IF(IsBlackTotalCell(B78),_xlfn.CONCAT(BuildReportIdText(A78),"=sum"),D78)</f>
        <v>NUT_TX-U5MN_SAM_Stab_SC_3_1</v>
      </c>
    </row>
    <row r="79" spans="1:5" ht="34.5" thickBot="1" x14ac:dyDescent="0.3">
      <c r="A79" s="30" t="s">
        <v>1357</v>
      </c>
      <c r="B79" s="30" t="s">
        <v>1346</v>
      </c>
      <c r="D79" s="32" t="s">
        <v>800</v>
      </c>
      <c r="E79" t="str" cm="1">
        <f t="array" ref="E79">IF(IsBlackTotalCell(B79),_xlfn.CONCAT(BuildReportIdText(A79),"=sum"),D79)</f>
        <v>NUT_TX-U5MN_SAM_Stab_SC_3_2</v>
      </c>
    </row>
    <row r="80" spans="1:5" ht="34.5" thickBot="1" x14ac:dyDescent="0.3">
      <c r="A80" s="30" t="s">
        <v>1358</v>
      </c>
      <c r="B80" s="30" t="s">
        <v>1348</v>
      </c>
      <c r="D80" s="32" t="s">
        <v>802</v>
      </c>
      <c r="E80" t="str" cm="1">
        <f t="array" ref="E80">IF(IsBlackTotalCell(B80),_xlfn.CONCAT(BuildReportIdText(A80),"=sum"),D80)</f>
        <v>NUT_TX-U5MN_SAM_Stab_SC_3_3</v>
      </c>
    </row>
    <row r="81" spans="1:5" ht="36.75" thickBot="1" x14ac:dyDescent="0.3">
      <c r="A81" s="38" t="s">
        <v>1359</v>
      </c>
      <c r="B81" s="41" t="s">
        <v>1360</v>
      </c>
      <c r="D81" s="40"/>
      <c r="E81" t="str" cm="1">
        <f t="array" ref="E81">IF(IsBlackTotalCell(B81),_xlfn.CONCAT(BuildReportIdText(A81),"=sum"),D81)</f>
        <v>NUT_TX_U5MN_SAM_Cur_SC_4=sum</v>
      </c>
    </row>
    <row r="82" spans="1:5" ht="34.5" thickBot="1" x14ac:dyDescent="0.3">
      <c r="A82" s="30" t="s">
        <v>1361</v>
      </c>
      <c r="B82" s="37" t="s">
        <v>1344</v>
      </c>
      <c r="D82" s="32" t="s">
        <v>804</v>
      </c>
      <c r="E82" t="str" cm="1">
        <f t="array" ref="E82">IF(IsBlackTotalCell(B82),_xlfn.CONCAT(BuildReportIdText(A82),"=sum"),D82)</f>
        <v>NUT_TX-U5MN_SAM_Cur_SC_4_1</v>
      </c>
    </row>
    <row r="83" spans="1:5" ht="34.5" thickBot="1" x14ac:dyDescent="0.3">
      <c r="A83" s="30" t="s">
        <v>1362</v>
      </c>
      <c r="B83" s="37" t="s">
        <v>1346</v>
      </c>
      <c r="D83" s="32" t="s">
        <v>806</v>
      </c>
      <c r="E83" t="str" cm="1">
        <f t="array" ref="E83">IF(IsBlackTotalCell(B83),_xlfn.CONCAT(BuildReportIdText(A83),"=sum"),D83)</f>
        <v>NUT_TX-U5MN_SAM_Cur_SC_4_2</v>
      </c>
    </row>
    <row r="84" spans="1:5" ht="34.5" thickBot="1" x14ac:dyDescent="0.3">
      <c r="A84" s="30" t="s">
        <v>1363</v>
      </c>
      <c r="B84" s="37" t="s">
        <v>1348</v>
      </c>
      <c r="D84" s="32" t="s">
        <v>808</v>
      </c>
      <c r="E84" t="str" cm="1">
        <f t="array" ref="E84">IF(IsBlackTotalCell(B84),_xlfn.CONCAT(BuildReportIdText(A84),"=sum"),D84)</f>
        <v>NUT_TX-U5MN_SAM_Cur_SC_4_3</v>
      </c>
    </row>
    <row r="85" spans="1:5" ht="36.75" thickBot="1" x14ac:dyDescent="0.3">
      <c r="A85" s="38" t="s">
        <v>1364</v>
      </c>
      <c r="B85" s="41" t="s">
        <v>1365</v>
      </c>
      <c r="D85" s="40"/>
      <c r="E85" t="str" cm="1">
        <f t="array" ref="E85">IF(IsBlackTotalCell(B85),_xlfn.CONCAT(BuildReportIdText(A85),"=sum"),D85)</f>
        <v>NUT_TX_U5MN_SAM_died_SC_5=sum</v>
      </c>
    </row>
    <row r="86" spans="1:5" ht="34.5" thickBot="1" x14ac:dyDescent="0.3">
      <c r="A86" s="30" t="s">
        <v>1366</v>
      </c>
      <c r="B86" s="37" t="s">
        <v>1344</v>
      </c>
      <c r="D86" s="32" t="s">
        <v>810</v>
      </c>
      <c r="E86" t="str" cm="1">
        <f t="array" ref="E86">IF(IsBlackTotalCell(B86),_xlfn.CONCAT(BuildReportIdText(A86),"=sum"),D86)</f>
        <v>NUT_TX-U5MN_SAM_died_SC_5_1</v>
      </c>
    </row>
    <row r="87" spans="1:5" ht="34.5" thickBot="1" x14ac:dyDescent="0.3">
      <c r="A87" s="30" t="s">
        <v>1367</v>
      </c>
      <c r="B87" s="37" t="s">
        <v>1346</v>
      </c>
      <c r="D87" s="32" t="s">
        <v>812</v>
      </c>
      <c r="E87" t="str" cm="1">
        <f t="array" ref="E87">IF(IsBlackTotalCell(B87),_xlfn.CONCAT(BuildReportIdText(A87),"=sum"),D87)</f>
        <v>NUT_TX-U5MN_SAM_died_SC_5_2</v>
      </c>
    </row>
    <row r="88" spans="1:5" ht="34.5" thickBot="1" x14ac:dyDescent="0.3">
      <c r="A88" s="30" t="s">
        <v>1368</v>
      </c>
      <c r="B88" s="37" t="s">
        <v>1348</v>
      </c>
      <c r="D88" s="32" t="s">
        <v>814</v>
      </c>
      <c r="E88" t="str" cm="1">
        <f t="array" ref="E88">IF(IsBlackTotalCell(B88),_xlfn.CONCAT(BuildReportIdText(A88),"=sum"),D88)</f>
        <v>NUT_TX-U5MN_SAM_died_SC_5_3</v>
      </c>
    </row>
    <row r="89" spans="1:5" ht="36.75" thickBot="1" x14ac:dyDescent="0.3">
      <c r="A89" s="38" t="s">
        <v>1369</v>
      </c>
      <c r="B89" s="41" t="s">
        <v>1370</v>
      </c>
      <c r="D89" s="40"/>
      <c r="E89" t="str" cm="1">
        <f t="array" ref="E89">IF(IsBlackTotalCell(B89),_xlfn.CONCAT(BuildReportIdText(A89),"=sum"),D89)</f>
        <v>NUT_TX_U5MN_SAM_TO_SC_6=sum</v>
      </c>
    </row>
    <row r="90" spans="1:5" ht="34.5" thickBot="1" x14ac:dyDescent="0.3">
      <c r="A90" s="30" t="s">
        <v>1371</v>
      </c>
      <c r="B90" s="37" t="s">
        <v>1344</v>
      </c>
      <c r="D90" s="32" t="s">
        <v>816</v>
      </c>
      <c r="E90" t="str" cm="1">
        <f t="array" ref="E90">IF(IsBlackTotalCell(B90),_xlfn.CONCAT(BuildReportIdText(A90),"=sum"),D90)</f>
        <v>NUT_TX-U5MN_SAM_TO_SC_6_1</v>
      </c>
    </row>
    <row r="91" spans="1:5" ht="34.5" thickBot="1" x14ac:dyDescent="0.3">
      <c r="A91" s="30" t="s">
        <v>1372</v>
      </c>
      <c r="B91" s="37" t="s">
        <v>1346</v>
      </c>
      <c r="D91" s="32" t="s">
        <v>818</v>
      </c>
      <c r="E91" t="str" cm="1">
        <f t="array" ref="E91">IF(IsBlackTotalCell(B91),_xlfn.CONCAT(BuildReportIdText(A91),"=sum"),D91)</f>
        <v>NUT_TX-U5MN_SAM_TO_SC_6_2</v>
      </c>
    </row>
    <row r="92" spans="1:5" ht="34.5" thickBot="1" x14ac:dyDescent="0.3">
      <c r="A92" s="30" t="s">
        <v>1373</v>
      </c>
      <c r="B92" s="37" t="s">
        <v>1348</v>
      </c>
      <c r="D92" s="32" t="s">
        <v>820</v>
      </c>
      <c r="E92" t="str" cm="1">
        <f t="array" ref="E92">IF(IsBlackTotalCell(B92),_xlfn.CONCAT(BuildReportIdText(A92),"=sum"),D92)</f>
        <v>NUT_TX-U5MN_SAM_TO_SC_6_3</v>
      </c>
    </row>
    <row r="93" spans="1:5" ht="36.75" thickBot="1" x14ac:dyDescent="0.3">
      <c r="A93" s="38" t="s">
        <v>1374</v>
      </c>
      <c r="B93" s="41" t="s">
        <v>1375</v>
      </c>
      <c r="D93" s="40"/>
      <c r="E93" t="str" cm="1">
        <f t="array" ref="E93">IF(IsBlackTotalCell(B93),_xlfn.CONCAT(BuildReportIdText(A93),"=sum"),D93)</f>
        <v>NUT_TX_U5MN_SAM_Def_SC_7=sum</v>
      </c>
    </row>
    <row r="94" spans="1:5" ht="34.5" thickBot="1" x14ac:dyDescent="0.3">
      <c r="A94" s="30" t="s">
        <v>1376</v>
      </c>
      <c r="B94" s="37" t="s">
        <v>1344</v>
      </c>
      <c r="D94" s="32" t="s">
        <v>822</v>
      </c>
      <c r="E94" t="str" cm="1">
        <f t="array" ref="E94">IF(IsBlackTotalCell(B94),_xlfn.CONCAT(BuildReportIdText(A94),"=sum"),D94)</f>
        <v>NUT_TX-U5MN_SAM_Def_SC_7_1</v>
      </c>
    </row>
    <row r="95" spans="1:5" ht="34.5" thickBot="1" x14ac:dyDescent="0.3">
      <c r="A95" s="30" t="s">
        <v>1377</v>
      </c>
      <c r="B95" s="37" t="s">
        <v>1346</v>
      </c>
      <c r="D95" s="32" t="s">
        <v>824</v>
      </c>
      <c r="E95" t="str" cm="1">
        <f t="array" ref="E95">IF(IsBlackTotalCell(B95),_xlfn.CONCAT(BuildReportIdText(A95),"=sum"),D95)</f>
        <v>NUT_TX-U5MN_SAM_Def_SC_7_2</v>
      </c>
    </row>
    <row r="96" spans="1:5" ht="34.5" thickBot="1" x14ac:dyDescent="0.3">
      <c r="A96" s="30" t="s">
        <v>1378</v>
      </c>
      <c r="B96" s="37" t="s">
        <v>1348</v>
      </c>
      <c r="D96" s="32" t="s">
        <v>826</v>
      </c>
      <c r="E96" t="str" cm="1">
        <f t="array" ref="E96">IF(IsBlackTotalCell(B96),_xlfn.CONCAT(BuildReportIdText(A96),"=sum"),D96)</f>
        <v>NUT_TX-U5MN_SAM_Def_SC_7_3</v>
      </c>
    </row>
    <row r="97" spans="1:5" ht="36.75" thickBot="1" x14ac:dyDescent="0.3">
      <c r="A97" s="38" t="s">
        <v>1379</v>
      </c>
      <c r="B97" s="41" t="s">
        <v>1380</v>
      </c>
      <c r="D97" s="40"/>
      <c r="E97" t="str" cm="1">
        <f t="array" ref="E97">IF(IsBlackTotalCell(B97),_xlfn.CONCAT(BuildReportIdText(A97),"=sum"),D97)</f>
        <v>NUT_TX_U5MN_SAM_NR_SC_8=sum</v>
      </c>
    </row>
    <row r="98" spans="1:5" ht="34.5" thickBot="1" x14ac:dyDescent="0.3">
      <c r="A98" s="30" t="s">
        <v>1381</v>
      </c>
      <c r="B98" s="37" t="s">
        <v>1344</v>
      </c>
      <c r="D98" s="32" t="s">
        <v>828</v>
      </c>
      <c r="E98" t="str" cm="1">
        <f t="array" ref="E98">IF(IsBlackTotalCell(B98),_xlfn.CONCAT(BuildReportIdText(A98),"=sum"),D98)</f>
        <v>NUT_TX-U5MN_SAM_NR_SC_8_1</v>
      </c>
    </row>
    <row r="99" spans="1:5" ht="34.5" thickBot="1" x14ac:dyDescent="0.3">
      <c r="A99" s="30" t="s">
        <v>1382</v>
      </c>
      <c r="B99" s="37" t="s">
        <v>1346</v>
      </c>
      <c r="D99" s="32" t="s">
        <v>830</v>
      </c>
      <c r="E99" t="str" cm="1">
        <f t="array" ref="E99">IF(IsBlackTotalCell(B99),_xlfn.CONCAT(BuildReportIdText(A99),"=sum"),D99)</f>
        <v>NUT_TX-U5MN_SAM_NR_SC_8_2</v>
      </c>
    </row>
    <row r="100" spans="1:5" ht="34.5" thickBot="1" x14ac:dyDescent="0.3">
      <c r="A100" s="30" t="s">
        <v>1383</v>
      </c>
      <c r="B100" s="37" t="s">
        <v>1348</v>
      </c>
      <c r="D100" s="32" t="s">
        <v>832</v>
      </c>
      <c r="E100" t="str" cm="1">
        <f t="array" ref="E100">IF(IsBlackTotalCell(B100),_xlfn.CONCAT(BuildReportIdText(A100),"=sum"),D100)</f>
        <v>NUT_TX-U5MN_SAM_NR_SC_8_3</v>
      </c>
    </row>
    <row r="101" spans="1:5" ht="36.75" thickBot="1" x14ac:dyDescent="0.3">
      <c r="A101" s="38" t="s">
        <v>1384</v>
      </c>
      <c r="B101" s="41" t="s">
        <v>1385</v>
      </c>
      <c r="D101" s="40"/>
      <c r="E101" t="str" cm="1">
        <f t="array" ref="E101">IF(IsBlackTotalCell(B101),_xlfn.CONCAT(BuildReportIdText(A101),"=sum"),D101)</f>
        <v>NUT_TX_U5MN_SAM_Ext_SC_9=sum</v>
      </c>
    </row>
    <row r="102" spans="1:5" ht="34.5" thickBot="1" x14ac:dyDescent="0.3">
      <c r="A102" s="30" t="s">
        <v>1386</v>
      </c>
      <c r="B102" s="37" t="s">
        <v>1344</v>
      </c>
      <c r="D102" s="32" t="s">
        <v>834</v>
      </c>
      <c r="E102" t="str" cm="1">
        <f t="array" ref="E102">IF(IsBlackTotalCell(B102),_xlfn.CONCAT(BuildReportIdText(A102),"=sum"),D102)</f>
        <v>NUT_TX-U5MN_SAM_Ext_SC_9_1</v>
      </c>
    </row>
    <row r="103" spans="1:5" ht="34.5" thickBot="1" x14ac:dyDescent="0.3">
      <c r="A103" s="30" t="s">
        <v>1387</v>
      </c>
      <c r="B103" s="37" t="s">
        <v>1346</v>
      </c>
      <c r="D103" s="32" t="s">
        <v>836</v>
      </c>
      <c r="E103" t="str" cm="1">
        <f t="array" ref="E103">IF(IsBlackTotalCell(B103),_xlfn.CONCAT(BuildReportIdText(A103),"=sum"),D103)</f>
        <v>NUT_TX-U5MN_SAM_Ext_SC_9_2</v>
      </c>
    </row>
    <row r="104" spans="1:5" ht="34.5" thickBot="1" x14ac:dyDescent="0.3">
      <c r="A104" s="30" t="s">
        <v>1388</v>
      </c>
      <c r="B104" s="30" t="s">
        <v>1348</v>
      </c>
      <c r="D104" s="32" t="s">
        <v>838</v>
      </c>
      <c r="E104" t="str" cm="1">
        <f t="array" ref="E104">IF(IsBlackTotalCell(B104),_xlfn.CONCAT(BuildReportIdText(A104),"=sum"),D104)</f>
        <v>NUT_TX-U5MN_SAM_Ext_SC_9_3</v>
      </c>
    </row>
    <row r="105" spans="1:5" ht="41.25" thickBot="1" x14ac:dyDescent="0.3">
      <c r="A105" s="42" t="s">
        <v>840</v>
      </c>
      <c r="B105" s="43" t="s">
        <v>1295</v>
      </c>
      <c r="D105" t="s">
        <v>840</v>
      </c>
      <c r="E105" s="42" t="s">
        <v>840</v>
      </c>
    </row>
    <row r="106" spans="1:5" ht="27.75" thickBot="1" x14ac:dyDescent="0.3">
      <c r="A106" s="44" t="s">
        <v>840</v>
      </c>
      <c r="B106" s="43" t="s">
        <v>1296</v>
      </c>
      <c r="D106" t="s">
        <v>840</v>
      </c>
      <c r="E106" s="44" t="s">
        <v>840</v>
      </c>
    </row>
    <row r="107" spans="1:5" ht="41.25" thickBot="1" x14ac:dyDescent="0.3">
      <c r="A107" s="45" t="s">
        <v>842</v>
      </c>
      <c r="B107" s="43" t="s">
        <v>1299</v>
      </c>
      <c r="D107" t="s">
        <v>842</v>
      </c>
      <c r="E107" s="45" t="s">
        <v>842</v>
      </c>
    </row>
    <row r="108" spans="1:5" ht="41.25" thickBot="1" x14ac:dyDescent="0.3">
      <c r="A108" s="44" t="s">
        <v>844</v>
      </c>
      <c r="B108" s="44" t="s">
        <v>1360</v>
      </c>
      <c r="D108" t="s">
        <v>844</v>
      </c>
      <c r="E108" s="44" t="s">
        <v>844</v>
      </c>
    </row>
    <row r="109" spans="1:5" ht="41.25" thickBot="1" x14ac:dyDescent="0.3">
      <c r="A109" s="44" t="s">
        <v>846</v>
      </c>
      <c r="B109" s="44" t="s">
        <v>1365</v>
      </c>
      <c r="D109" t="s">
        <v>846</v>
      </c>
      <c r="E109" s="44" t="s">
        <v>846</v>
      </c>
    </row>
    <row r="110" spans="1:5" ht="41.25" thickBot="1" x14ac:dyDescent="0.3">
      <c r="A110" s="44" t="s">
        <v>848</v>
      </c>
      <c r="B110" s="44" t="s">
        <v>1370</v>
      </c>
      <c r="D110" t="s">
        <v>848</v>
      </c>
      <c r="E110" s="44" t="s">
        <v>848</v>
      </c>
    </row>
    <row r="111" spans="1:5" ht="41.25" thickBot="1" x14ac:dyDescent="0.3">
      <c r="A111" s="44" t="s">
        <v>850</v>
      </c>
      <c r="B111" s="44" t="s">
        <v>1375</v>
      </c>
      <c r="D111" t="s">
        <v>850</v>
      </c>
      <c r="E111" s="44" t="s">
        <v>850</v>
      </c>
    </row>
    <row r="112" spans="1:5" ht="41.25" thickBot="1" x14ac:dyDescent="0.3">
      <c r="A112" s="44" t="s">
        <v>852</v>
      </c>
      <c r="B112" s="44" t="s">
        <v>1380</v>
      </c>
      <c r="D112" t="s">
        <v>852</v>
      </c>
      <c r="E112" s="44" t="s">
        <v>852</v>
      </c>
    </row>
    <row r="113" spans="1:5" ht="41.25" thickBot="1" x14ac:dyDescent="0.3">
      <c r="A113" s="45" t="s">
        <v>854</v>
      </c>
      <c r="B113" s="43" t="s">
        <v>1385</v>
      </c>
      <c r="D113" t="s">
        <v>854</v>
      </c>
      <c r="E113" s="45" t="s">
        <v>854</v>
      </c>
    </row>
    <row r="114" spans="1:5" ht="50.25" thickBot="1" x14ac:dyDescent="0.3">
      <c r="A114" s="46" t="s">
        <v>1300</v>
      </c>
      <c r="B114" s="46" t="s">
        <v>1301</v>
      </c>
      <c r="D114" t="s">
        <v>856</v>
      </c>
      <c r="E114" s="46" t="s">
        <v>1300</v>
      </c>
    </row>
    <row r="115" spans="1:5" ht="41.25" thickBot="1" x14ac:dyDescent="0.3">
      <c r="A115" s="45" t="s">
        <v>856</v>
      </c>
      <c r="B115" s="44" t="s">
        <v>1302</v>
      </c>
      <c r="D115" t="s">
        <v>856</v>
      </c>
      <c r="E115" s="45" t="s">
        <v>856</v>
      </c>
    </row>
    <row r="116" spans="1:5" ht="41.25" thickBot="1" x14ac:dyDescent="0.3">
      <c r="A116" s="45" t="s">
        <v>858</v>
      </c>
      <c r="B116" s="44" t="s">
        <v>1389</v>
      </c>
      <c r="D116" t="s">
        <v>858</v>
      </c>
      <c r="E116" s="45" t="s">
        <v>858</v>
      </c>
    </row>
    <row r="117" spans="1:5" ht="41.25" thickBot="1" x14ac:dyDescent="0.3">
      <c r="A117" s="44" t="s">
        <v>862</v>
      </c>
      <c r="B117" s="47" t="s">
        <v>1360</v>
      </c>
      <c r="D117" t="s">
        <v>862</v>
      </c>
      <c r="E117" s="44" t="s">
        <v>862</v>
      </c>
    </row>
    <row r="118" spans="1:5" ht="41.25" thickBot="1" x14ac:dyDescent="0.3">
      <c r="A118" s="44" t="s">
        <v>864</v>
      </c>
      <c r="B118" s="47" t="s">
        <v>1365</v>
      </c>
      <c r="D118" t="s">
        <v>864</v>
      </c>
      <c r="E118" s="44" t="s">
        <v>864</v>
      </c>
    </row>
    <row r="119" spans="1:5" ht="41.25" thickBot="1" x14ac:dyDescent="0.3">
      <c r="A119" s="44" t="s">
        <v>866</v>
      </c>
      <c r="B119" s="47" t="s">
        <v>1370</v>
      </c>
      <c r="D119" t="s">
        <v>866</v>
      </c>
      <c r="E119" s="44" t="s">
        <v>866</v>
      </c>
    </row>
    <row r="120" spans="1:5" ht="41.25" thickBot="1" x14ac:dyDescent="0.3">
      <c r="A120" s="44" t="s">
        <v>868</v>
      </c>
      <c r="B120" s="47" t="s">
        <v>1375</v>
      </c>
      <c r="D120" t="s">
        <v>868</v>
      </c>
      <c r="E120" s="44" t="s">
        <v>868</v>
      </c>
    </row>
    <row r="121" spans="1:5" ht="41.25" thickBot="1" x14ac:dyDescent="0.3">
      <c r="A121" s="44" t="s">
        <v>870</v>
      </c>
      <c r="B121" s="47" t="s">
        <v>1380</v>
      </c>
      <c r="D121" t="s">
        <v>870</v>
      </c>
      <c r="E121" s="44" t="s">
        <v>870</v>
      </c>
    </row>
    <row r="122" spans="1:5" ht="40.5" x14ac:dyDescent="0.25">
      <c r="A122" s="48" t="s">
        <v>872</v>
      </c>
      <c r="B122" s="49" t="s">
        <v>1305</v>
      </c>
      <c r="D122" t="s">
        <v>872</v>
      </c>
      <c r="E122" s="48" t="s">
        <v>872</v>
      </c>
    </row>
    <row r="123" spans="1:5" ht="32.25" thickBot="1" x14ac:dyDescent="0.3">
      <c r="A123" s="50" t="s">
        <v>1390</v>
      </c>
      <c r="B123" s="50" t="s">
        <v>1391</v>
      </c>
      <c r="D123" t="s">
        <v>858</v>
      </c>
      <c r="E123" s="50" t="s">
        <v>1390</v>
      </c>
    </row>
    <row r="124" spans="1:5" ht="36.75" thickBot="1" x14ac:dyDescent="0.3">
      <c r="A124" s="38" t="s">
        <v>874</v>
      </c>
      <c r="B124" s="39" t="s">
        <v>1302</v>
      </c>
      <c r="D124" t="s">
        <v>874</v>
      </c>
      <c r="E124" s="38" t="s">
        <v>874</v>
      </c>
    </row>
    <row r="125" spans="1:5" ht="36.75" thickBot="1" x14ac:dyDescent="0.3">
      <c r="A125" s="38" t="s">
        <v>876</v>
      </c>
      <c r="B125" s="39" t="s">
        <v>1392</v>
      </c>
      <c r="D125" t="s">
        <v>876</v>
      </c>
      <c r="E125" s="38" t="s">
        <v>876</v>
      </c>
    </row>
    <row r="126" spans="1:5" ht="23.25" thickBot="1" x14ac:dyDescent="0.3">
      <c r="A126" s="51" t="s">
        <v>878</v>
      </c>
      <c r="B126" s="51" t="s">
        <v>1393</v>
      </c>
      <c r="D126" t="s">
        <v>878</v>
      </c>
      <c r="E126" s="51" t="s">
        <v>878</v>
      </c>
    </row>
    <row r="127" spans="1:5" ht="34.5" thickBot="1" x14ac:dyDescent="0.3">
      <c r="A127" s="51" t="s">
        <v>880</v>
      </c>
      <c r="B127" s="51" t="s">
        <v>1394</v>
      </c>
      <c r="D127" t="s">
        <v>880</v>
      </c>
      <c r="E127" s="51" t="s">
        <v>880</v>
      </c>
    </row>
    <row r="128" spans="1:5" ht="23.25" thickBot="1" x14ac:dyDescent="0.3">
      <c r="A128" s="51" t="s">
        <v>882</v>
      </c>
      <c r="B128" s="51" t="s">
        <v>1395</v>
      </c>
      <c r="D128" t="s">
        <v>882</v>
      </c>
      <c r="E128" s="51" t="s">
        <v>882</v>
      </c>
    </row>
    <row r="129" spans="1:5" ht="23.25" thickBot="1" x14ac:dyDescent="0.3">
      <c r="A129" s="51" t="s">
        <v>1396</v>
      </c>
      <c r="B129" s="51" t="s">
        <v>1397</v>
      </c>
      <c r="D129" t="s">
        <v>884</v>
      </c>
      <c r="E129" s="51" t="s">
        <v>1396</v>
      </c>
    </row>
    <row r="130" spans="1:5" ht="34.5" thickBot="1" x14ac:dyDescent="0.3">
      <c r="A130" s="51" t="s">
        <v>1398</v>
      </c>
      <c r="B130" s="51" t="s">
        <v>1399</v>
      </c>
      <c r="D130" t="s">
        <v>886</v>
      </c>
      <c r="E130" s="51" t="s">
        <v>1398</v>
      </c>
    </row>
    <row r="131" spans="1:5" ht="24.75" thickBot="1" x14ac:dyDescent="0.3">
      <c r="A131" s="38" t="s">
        <v>888</v>
      </c>
      <c r="B131" s="39" t="s">
        <v>1400</v>
      </c>
      <c r="D131" t="s">
        <v>888</v>
      </c>
      <c r="E131" s="38" t="s">
        <v>888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5A86B-7E94-4024-8498-2FBDA070F792}">
  <sheetPr codeName="Sheet4"/>
  <dimension ref="A1:B101"/>
  <sheetViews>
    <sheetView workbookViewId="0">
      <selection activeCell="B5" sqref="B5"/>
    </sheetView>
  </sheetViews>
  <sheetFormatPr defaultColWidth="24.85546875" defaultRowHeight="15" x14ac:dyDescent="0.25"/>
  <cols>
    <col min="2" max="2" width="59.42578125" customWidth="1"/>
  </cols>
  <sheetData>
    <row r="1" spans="1:2" ht="39" x14ac:dyDescent="0.25">
      <c r="A1" s="13" t="s">
        <v>385</v>
      </c>
      <c r="B1" s="13" t="s">
        <v>386</v>
      </c>
    </row>
    <row r="2" spans="1:2" ht="78" x14ac:dyDescent="0.25">
      <c r="A2" s="13" t="s">
        <v>264</v>
      </c>
      <c r="B2" s="13" t="s">
        <v>265</v>
      </c>
    </row>
    <row r="3" spans="1:2" ht="58.5" x14ac:dyDescent="0.25">
      <c r="A3" s="13" t="s">
        <v>266</v>
      </c>
      <c r="B3" s="13" t="s">
        <v>267</v>
      </c>
    </row>
    <row r="4" spans="1:2" ht="58.5" x14ac:dyDescent="0.25">
      <c r="A4" s="13" t="s">
        <v>268</v>
      </c>
      <c r="B4" s="13" t="s">
        <v>269</v>
      </c>
    </row>
    <row r="5" spans="1:2" ht="39" x14ac:dyDescent="0.25">
      <c r="A5" s="13" t="s">
        <v>270</v>
      </c>
      <c r="B5" s="13" t="s">
        <v>271</v>
      </c>
    </row>
    <row r="6" spans="1:2" ht="39" x14ac:dyDescent="0.25">
      <c r="A6" s="13" t="s">
        <v>272</v>
      </c>
      <c r="B6" s="13" t="s">
        <v>273</v>
      </c>
    </row>
    <row r="7" spans="1:2" ht="39" x14ac:dyDescent="0.25">
      <c r="A7" s="13" t="s">
        <v>274</v>
      </c>
      <c r="B7" s="13" t="s">
        <v>275</v>
      </c>
    </row>
    <row r="8" spans="1:2" ht="78" x14ac:dyDescent="0.25">
      <c r="A8" s="13" t="s">
        <v>276</v>
      </c>
      <c r="B8" s="13" t="s">
        <v>277</v>
      </c>
    </row>
    <row r="9" spans="1:2" ht="58.5" x14ac:dyDescent="0.25">
      <c r="A9" s="13" t="s">
        <v>278</v>
      </c>
      <c r="B9" s="13" t="s">
        <v>279</v>
      </c>
    </row>
    <row r="10" spans="1:2" ht="58.5" x14ac:dyDescent="0.25">
      <c r="A10" s="13" t="s">
        <v>280</v>
      </c>
      <c r="B10" s="13" t="s">
        <v>281</v>
      </c>
    </row>
    <row r="11" spans="1:2" ht="58.5" x14ac:dyDescent="0.25">
      <c r="A11" s="13" t="s">
        <v>282</v>
      </c>
      <c r="B11" s="13" t="s">
        <v>283</v>
      </c>
    </row>
    <row r="12" spans="1:2" ht="58.5" x14ac:dyDescent="0.25">
      <c r="A12" s="13" t="s">
        <v>284</v>
      </c>
      <c r="B12" s="13" t="s">
        <v>285</v>
      </c>
    </row>
    <row r="13" spans="1:2" ht="58.5" x14ac:dyDescent="0.25">
      <c r="A13" s="13" t="s">
        <v>286</v>
      </c>
      <c r="B13" s="13" t="s">
        <v>287</v>
      </c>
    </row>
    <row r="14" spans="1:2" ht="58.5" x14ac:dyDescent="0.25">
      <c r="A14" s="13" t="s">
        <v>288</v>
      </c>
      <c r="B14" s="13" t="s">
        <v>289</v>
      </c>
    </row>
    <row r="15" spans="1:2" ht="39" x14ac:dyDescent="0.25">
      <c r="A15" s="13" t="s">
        <v>306</v>
      </c>
      <c r="B15" s="13" t="s">
        <v>307</v>
      </c>
    </row>
    <row r="16" spans="1:2" ht="39" x14ac:dyDescent="0.25">
      <c r="A16" s="13" t="s">
        <v>308</v>
      </c>
      <c r="B16" s="13" t="s">
        <v>309</v>
      </c>
    </row>
    <row r="17" spans="1:2" ht="39" x14ac:dyDescent="0.25">
      <c r="A17" s="13" t="s">
        <v>310</v>
      </c>
      <c r="B17" s="13" t="s">
        <v>311</v>
      </c>
    </row>
    <row r="18" spans="1:2" ht="19.5" x14ac:dyDescent="0.25">
      <c r="A18" s="13" t="s">
        <v>312</v>
      </c>
      <c r="B18" s="13" t="s">
        <v>313</v>
      </c>
    </row>
    <row r="19" spans="1:2" ht="39" x14ac:dyDescent="0.25">
      <c r="A19" s="13" t="s">
        <v>314</v>
      </c>
      <c r="B19" s="13" t="s">
        <v>315</v>
      </c>
    </row>
    <row r="20" spans="1:2" ht="19.5" x14ac:dyDescent="0.25">
      <c r="A20" s="13" t="s">
        <v>316</v>
      </c>
      <c r="B20" s="13" t="s">
        <v>317</v>
      </c>
    </row>
    <row r="21" spans="1:2" ht="19.5" x14ac:dyDescent="0.25">
      <c r="A21" s="13" t="s">
        <v>318</v>
      </c>
      <c r="B21" s="13" t="s">
        <v>319</v>
      </c>
    </row>
    <row r="22" spans="1:2" ht="19.5" x14ac:dyDescent="0.25">
      <c r="A22" s="13" t="s">
        <v>320</v>
      </c>
      <c r="B22" s="13" t="s">
        <v>321</v>
      </c>
    </row>
    <row r="23" spans="1:2" ht="19.5" x14ac:dyDescent="0.25">
      <c r="A23" s="13" t="s">
        <v>322</v>
      </c>
      <c r="B23" s="13" t="s">
        <v>321</v>
      </c>
    </row>
    <row r="24" spans="1:2" ht="39" x14ac:dyDescent="0.25">
      <c r="A24" s="13" t="s">
        <v>323</v>
      </c>
      <c r="B24" s="13" t="s">
        <v>324</v>
      </c>
    </row>
    <row r="25" spans="1:2" ht="58.5" x14ac:dyDescent="0.25">
      <c r="A25" s="13" t="s">
        <v>331</v>
      </c>
      <c r="B25" s="13" t="s">
        <v>332</v>
      </c>
    </row>
    <row r="26" spans="1:2" ht="58.5" x14ac:dyDescent="0.25">
      <c r="A26" s="13" t="s">
        <v>335</v>
      </c>
      <c r="B26" s="13" t="s">
        <v>336</v>
      </c>
    </row>
    <row r="27" spans="1:2" ht="39" x14ac:dyDescent="0.25">
      <c r="A27" s="13" t="s">
        <v>337</v>
      </c>
      <c r="B27" s="13" t="s">
        <v>338</v>
      </c>
    </row>
    <row r="28" spans="1:2" ht="39" x14ac:dyDescent="0.25">
      <c r="A28" s="13" t="s">
        <v>722</v>
      </c>
      <c r="B28" s="13" t="s">
        <v>723</v>
      </c>
    </row>
    <row r="29" spans="1:2" ht="39" x14ac:dyDescent="0.25">
      <c r="A29" s="13" t="s">
        <v>726</v>
      </c>
      <c r="B29" s="13" t="s">
        <v>727</v>
      </c>
    </row>
    <row r="30" spans="1:2" ht="39" x14ac:dyDescent="0.25">
      <c r="A30" s="13" t="s">
        <v>728</v>
      </c>
      <c r="B30" s="13" t="s">
        <v>729</v>
      </c>
    </row>
    <row r="31" spans="1:2" ht="39" x14ac:dyDescent="0.25">
      <c r="A31" s="13" t="s">
        <v>730</v>
      </c>
      <c r="B31" s="13" t="s">
        <v>731</v>
      </c>
    </row>
    <row r="32" spans="1:2" ht="39" x14ac:dyDescent="0.25">
      <c r="A32" s="13" t="s">
        <v>732</v>
      </c>
      <c r="B32" s="13" t="s">
        <v>733</v>
      </c>
    </row>
    <row r="33" spans="1:2" ht="58.5" x14ac:dyDescent="0.25">
      <c r="A33" s="13" t="s">
        <v>734</v>
      </c>
      <c r="B33" s="13" t="s">
        <v>735</v>
      </c>
    </row>
    <row r="34" spans="1:2" ht="58.5" x14ac:dyDescent="0.25">
      <c r="A34" s="13" t="s">
        <v>736</v>
      </c>
      <c r="B34" s="13" t="s">
        <v>737</v>
      </c>
    </row>
    <row r="35" spans="1:2" ht="39" x14ac:dyDescent="0.25">
      <c r="A35" s="13" t="s">
        <v>738</v>
      </c>
      <c r="B35" s="13" t="s">
        <v>739</v>
      </c>
    </row>
    <row r="36" spans="1:2" ht="39" x14ac:dyDescent="0.25">
      <c r="A36" s="13" t="s">
        <v>740</v>
      </c>
      <c r="B36" s="13" t="s">
        <v>741</v>
      </c>
    </row>
    <row r="37" spans="1:2" ht="58.5" x14ac:dyDescent="0.25">
      <c r="A37" s="13" t="s">
        <v>742</v>
      </c>
      <c r="B37" s="13" t="s">
        <v>743</v>
      </c>
    </row>
    <row r="38" spans="1:2" ht="58.5" x14ac:dyDescent="0.25">
      <c r="A38" s="13" t="s">
        <v>744</v>
      </c>
      <c r="B38" s="13" t="s">
        <v>745</v>
      </c>
    </row>
    <row r="39" spans="1:2" ht="39" x14ac:dyDescent="0.25">
      <c r="A39" s="13" t="s">
        <v>758</v>
      </c>
      <c r="B39" s="13" t="s">
        <v>759</v>
      </c>
    </row>
    <row r="40" spans="1:2" ht="39" x14ac:dyDescent="0.25">
      <c r="A40" s="13" t="s">
        <v>760</v>
      </c>
      <c r="B40" s="13" t="s">
        <v>761</v>
      </c>
    </row>
    <row r="41" spans="1:2" ht="58.5" x14ac:dyDescent="0.25">
      <c r="A41" s="13" t="s">
        <v>762</v>
      </c>
      <c r="B41" s="13" t="s">
        <v>763</v>
      </c>
    </row>
    <row r="42" spans="1:2" ht="39" x14ac:dyDescent="0.25">
      <c r="A42" s="13" t="s">
        <v>768</v>
      </c>
      <c r="B42" s="13" t="s">
        <v>769</v>
      </c>
    </row>
    <row r="43" spans="1:2" ht="39" x14ac:dyDescent="0.25">
      <c r="A43" s="13" t="s">
        <v>770</v>
      </c>
      <c r="B43" s="13" t="s">
        <v>771</v>
      </c>
    </row>
    <row r="44" spans="1:2" ht="39" x14ac:dyDescent="0.25">
      <c r="A44" s="13" t="s">
        <v>772</v>
      </c>
      <c r="B44" s="13" t="s">
        <v>773</v>
      </c>
    </row>
    <row r="45" spans="1:2" ht="58.5" x14ac:dyDescent="0.25">
      <c r="A45" s="13" t="s">
        <v>774</v>
      </c>
      <c r="B45" s="13" t="s">
        <v>775</v>
      </c>
    </row>
    <row r="46" spans="1:2" ht="58.5" x14ac:dyDescent="0.25">
      <c r="A46" s="13" t="s">
        <v>776</v>
      </c>
      <c r="B46" s="13" t="s">
        <v>777</v>
      </c>
    </row>
    <row r="47" spans="1:2" ht="58.5" x14ac:dyDescent="0.25">
      <c r="A47" s="13" t="s">
        <v>786</v>
      </c>
      <c r="B47" s="13" t="s">
        <v>787</v>
      </c>
    </row>
    <row r="48" spans="1:2" ht="58.5" x14ac:dyDescent="0.25">
      <c r="A48" s="13" t="s">
        <v>788</v>
      </c>
      <c r="B48" s="13" t="s">
        <v>789</v>
      </c>
    </row>
    <row r="49" spans="1:2" ht="58.5" x14ac:dyDescent="0.25">
      <c r="A49" s="13" t="s">
        <v>790</v>
      </c>
      <c r="B49" s="13" t="s">
        <v>791</v>
      </c>
    </row>
    <row r="50" spans="1:2" ht="78" x14ac:dyDescent="0.25">
      <c r="A50" s="13" t="s">
        <v>792</v>
      </c>
      <c r="B50" s="13" t="s">
        <v>793</v>
      </c>
    </row>
    <row r="51" spans="1:2" ht="78" x14ac:dyDescent="0.25">
      <c r="A51" s="13" t="s">
        <v>794</v>
      </c>
      <c r="B51" s="13" t="s">
        <v>795</v>
      </c>
    </row>
    <row r="52" spans="1:2" ht="78" x14ac:dyDescent="0.25">
      <c r="A52" s="13" t="s">
        <v>796</v>
      </c>
      <c r="B52" s="13" t="s">
        <v>797</v>
      </c>
    </row>
    <row r="53" spans="1:2" ht="58.5" x14ac:dyDescent="0.25">
      <c r="A53" s="13" t="s">
        <v>798</v>
      </c>
      <c r="B53" s="13" t="s">
        <v>799</v>
      </c>
    </row>
    <row r="54" spans="1:2" ht="58.5" x14ac:dyDescent="0.25">
      <c r="A54" s="13" t="s">
        <v>800</v>
      </c>
      <c r="B54" s="13" t="s">
        <v>801</v>
      </c>
    </row>
    <row r="55" spans="1:2" ht="58.5" x14ac:dyDescent="0.25">
      <c r="A55" s="13" t="s">
        <v>802</v>
      </c>
      <c r="B55" s="13" t="s">
        <v>803</v>
      </c>
    </row>
    <row r="56" spans="1:2" ht="58.5" x14ac:dyDescent="0.25">
      <c r="A56" s="13" t="s">
        <v>804</v>
      </c>
      <c r="B56" s="13" t="s">
        <v>805</v>
      </c>
    </row>
    <row r="57" spans="1:2" ht="58.5" x14ac:dyDescent="0.25">
      <c r="A57" s="13" t="s">
        <v>806</v>
      </c>
      <c r="B57" s="13" t="s">
        <v>807</v>
      </c>
    </row>
    <row r="58" spans="1:2" ht="58.5" x14ac:dyDescent="0.25">
      <c r="A58" s="13" t="s">
        <v>808</v>
      </c>
      <c r="B58" s="13" t="s">
        <v>809</v>
      </c>
    </row>
    <row r="59" spans="1:2" ht="58.5" x14ac:dyDescent="0.25">
      <c r="A59" s="13" t="s">
        <v>810</v>
      </c>
      <c r="B59" s="13" t="s">
        <v>811</v>
      </c>
    </row>
    <row r="60" spans="1:2" ht="58.5" x14ac:dyDescent="0.25">
      <c r="A60" s="13" t="s">
        <v>812</v>
      </c>
      <c r="B60" s="13" t="s">
        <v>813</v>
      </c>
    </row>
    <row r="61" spans="1:2" ht="58.5" x14ac:dyDescent="0.25">
      <c r="A61" s="13" t="s">
        <v>814</v>
      </c>
      <c r="B61" s="13" t="s">
        <v>815</v>
      </c>
    </row>
    <row r="62" spans="1:2" ht="58.5" x14ac:dyDescent="0.25">
      <c r="A62" s="13" t="s">
        <v>816</v>
      </c>
      <c r="B62" s="13" t="s">
        <v>817</v>
      </c>
    </row>
    <row r="63" spans="1:2" ht="58.5" x14ac:dyDescent="0.25">
      <c r="A63" s="13" t="s">
        <v>818</v>
      </c>
      <c r="B63" s="13" t="s">
        <v>819</v>
      </c>
    </row>
    <row r="64" spans="1:2" ht="58.5" x14ac:dyDescent="0.25">
      <c r="A64" s="13" t="s">
        <v>820</v>
      </c>
      <c r="B64" s="13" t="s">
        <v>821</v>
      </c>
    </row>
    <row r="65" spans="1:2" ht="58.5" x14ac:dyDescent="0.25">
      <c r="A65" s="13" t="s">
        <v>822</v>
      </c>
      <c r="B65" s="13" t="s">
        <v>823</v>
      </c>
    </row>
    <row r="66" spans="1:2" ht="58.5" x14ac:dyDescent="0.25">
      <c r="A66" s="13" t="s">
        <v>824</v>
      </c>
      <c r="B66" s="13" t="s">
        <v>825</v>
      </c>
    </row>
    <row r="67" spans="1:2" ht="58.5" x14ac:dyDescent="0.25">
      <c r="A67" s="13" t="s">
        <v>826</v>
      </c>
      <c r="B67" s="13" t="s">
        <v>827</v>
      </c>
    </row>
    <row r="68" spans="1:2" ht="58.5" x14ac:dyDescent="0.25">
      <c r="A68" s="13" t="s">
        <v>828</v>
      </c>
      <c r="B68" s="13" t="s">
        <v>829</v>
      </c>
    </row>
    <row r="69" spans="1:2" ht="58.5" x14ac:dyDescent="0.25">
      <c r="A69" s="13" t="s">
        <v>830</v>
      </c>
      <c r="B69" s="13" t="s">
        <v>831</v>
      </c>
    </row>
    <row r="70" spans="1:2" ht="58.5" x14ac:dyDescent="0.25">
      <c r="A70" s="13" t="s">
        <v>832</v>
      </c>
      <c r="B70" s="13" t="s">
        <v>833</v>
      </c>
    </row>
    <row r="71" spans="1:2" ht="58.5" x14ac:dyDescent="0.25">
      <c r="A71" s="13" t="s">
        <v>834</v>
      </c>
      <c r="B71" s="13" t="s">
        <v>835</v>
      </c>
    </row>
    <row r="72" spans="1:2" ht="58.5" x14ac:dyDescent="0.25">
      <c r="A72" s="13" t="s">
        <v>836</v>
      </c>
      <c r="B72" s="13" t="s">
        <v>837</v>
      </c>
    </row>
    <row r="73" spans="1:2" ht="58.5" x14ac:dyDescent="0.25">
      <c r="A73" s="13" t="s">
        <v>838</v>
      </c>
      <c r="B73" s="13" t="s">
        <v>839</v>
      </c>
    </row>
    <row r="74" spans="1:2" ht="39" x14ac:dyDescent="0.25">
      <c r="A74" s="13" t="s">
        <v>840</v>
      </c>
      <c r="B74" s="13" t="s">
        <v>841</v>
      </c>
    </row>
    <row r="75" spans="1:2" ht="58.5" x14ac:dyDescent="0.25">
      <c r="A75" s="13" t="s">
        <v>842</v>
      </c>
      <c r="B75" s="13" t="s">
        <v>843</v>
      </c>
    </row>
    <row r="76" spans="1:2" ht="58.5" x14ac:dyDescent="0.25">
      <c r="A76" s="13" t="s">
        <v>844</v>
      </c>
      <c r="B76" s="13" t="s">
        <v>845</v>
      </c>
    </row>
    <row r="77" spans="1:2" ht="58.5" x14ac:dyDescent="0.25">
      <c r="A77" s="13" t="s">
        <v>846</v>
      </c>
      <c r="B77" s="13" t="s">
        <v>847</v>
      </c>
    </row>
    <row r="78" spans="1:2" ht="58.5" x14ac:dyDescent="0.25">
      <c r="A78" s="13" t="s">
        <v>848</v>
      </c>
      <c r="B78" s="13" t="s">
        <v>849</v>
      </c>
    </row>
    <row r="79" spans="1:2" ht="58.5" x14ac:dyDescent="0.25">
      <c r="A79" s="13" t="s">
        <v>850</v>
      </c>
      <c r="B79" s="13" t="s">
        <v>851</v>
      </c>
    </row>
    <row r="80" spans="1:2" ht="58.5" x14ac:dyDescent="0.25">
      <c r="A80" s="13" t="s">
        <v>852</v>
      </c>
      <c r="B80" s="13" t="s">
        <v>853</v>
      </c>
    </row>
    <row r="81" spans="1:2" ht="58.5" x14ac:dyDescent="0.25">
      <c r="A81" s="13" t="s">
        <v>854</v>
      </c>
      <c r="B81" s="13" t="s">
        <v>855</v>
      </c>
    </row>
    <row r="82" spans="1:2" ht="58.5" x14ac:dyDescent="0.25">
      <c r="A82" s="13" t="s">
        <v>856</v>
      </c>
      <c r="B82" s="13" t="s">
        <v>857</v>
      </c>
    </row>
    <row r="83" spans="1:2" ht="58.5" x14ac:dyDescent="0.25">
      <c r="A83" s="13" t="s">
        <v>858</v>
      </c>
      <c r="B83" s="13" t="s">
        <v>859</v>
      </c>
    </row>
    <row r="84" spans="1:2" ht="58.5" x14ac:dyDescent="0.25">
      <c r="A84" s="13" t="s">
        <v>860</v>
      </c>
      <c r="B84" s="13" t="s">
        <v>861</v>
      </c>
    </row>
    <row r="85" spans="1:2" ht="58.5" x14ac:dyDescent="0.25">
      <c r="A85" s="13" t="s">
        <v>862</v>
      </c>
      <c r="B85" s="13" t="s">
        <v>863</v>
      </c>
    </row>
    <row r="86" spans="1:2" ht="58.5" x14ac:dyDescent="0.25">
      <c r="A86" s="13" t="s">
        <v>864</v>
      </c>
      <c r="B86" s="13" t="s">
        <v>865</v>
      </c>
    </row>
    <row r="87" spans="1:2" ht="58.5" x14ac:dyDescent="0.25">
      <c r="A87" s="13" t="s">
        <v>866</v>
      </c>
      <c r="B87" s="13" t="s">
        <v>867</v>
      </c>
    </row>
    <row r="88" spans="1:2" ht="58.5" x14ac:dyDescent="0.25">
      <c r="A88" s="13" t="s">
        <v>868</v>
      </c>
      <c r="B88" s="13" t="s">
        <v>869</v>
      </c>
    </row>
    <row r="89" spans="1:2" ht="58.5" x14ac:dyDescent="0.25">
      <c r="A89" s="13" t="s">
        <v>870</v>
      </c>
      <c r="B89" s="13" t="s">
        <v>871</v>
      </c>
    </row>
    <row r="90" spans="1:2" ht="58.5" x14ac:dyDescent="0.25">
      <c r="A90" s="13" t="s">
        <v>872</v>
      </c>
      <c r="B90" s="13" t="s">
        <v>873</v>
      </c>
    </row>
    <row r="91" spans="1:2" ht="58.5" x14ac:dyDescent="0.25">
      <c r="A91" s="13" t="s">
        <v>874</v>
      </c>
      <c r="B91" s="13" t="s">
        <v>875</v>
      </c>
    </row>
    <row r="92" spans="1:2" ht="58.5" x14ac:dyDescent="0.25">
      <c r="A92" s="13" t="s">
        <v>876</v>
      </c>
      <c r="B92" s="13" t="s">
        <v>877</v>
      </c>
    </row>
    <row r="93" spans="1:2" ht="39" x14ac:dyDescent="0.25">
      <c r="A93" s="13" t="s">
        <v>878</v>
      </c>
      <c r="B93" s="13" t="s">
        <v>879</v>
      </c>
    </row>
    <row r="94" spans="1:2" ht="39" x14ac:dyDescent="0.25">
      <c r="A94" s="13" t="s">
        <v>880</v>
      </c>
      <c r="B94" s="13" t="s">
        <v>881</v>
      </c>
    </row>
    <row r="95" spans="1:2" ht="39" x14ac:dyDescent="0.25">
      <c r="A95" s="13" t="s">
        <v>882</v>
      </c>
      <c r="B95" s="13" t="s">
        <v>883</v>
      </c>
    </row>
    <row r="96" spans="1:2" ht="39" x14ac:dyDescent="0.25">
      <c r="A96" s="13" t="s">
        <v>884</v>
      </c>
      <c r="B96" s="13" t="s">
        <v>885</v>
      </c>
    </row>
    <row r="97" spans="1:2" ht="58.5" x14ac:dyDescent="0.25">
      <c r="A97" s="13" t="s">
        <v>886</v>
      </c>
      <c r="B97" s="13" t="s">
        <v>887</v>
      </c>
    </row>
    <row r="98" spans="1:2" ht="58.5" x14ac:dyDescent="0.25">
      <c r="A98" s="13" t="s">
        <v>888</v>
      </c>
      <c r="B98" s="13" t="s">
        <v>889</v>
      </c>
    </row>
    <row r="99" spans="1:2" ht="39" x14ac:dyDescent="0.25">
      <c r="A99" s="13" t="s">
        <v>890</v>
      </c>
      <c r="B99" s="13" t="s">
        <v>891</v>
      </c>
    </row>
    <row r="100" spans="1:2" ht="58.5" x14ac:dyDescent="0.25">
      <c r="A100" s="13" t="s">
        <v>892</v>
      </c>
      <c r="B100" s="13" t="s">
        <v>893</v>
      </c>
    </row>
    <row r="101" spans="1:2" ht="58.5" x14ac:dyDescent="0.25">
      <c r="A101" s="13" t="s">
        <v>894</v>
      </c>
      <c r="B101" s="13" t="s">
        <v>895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A0C97-6928-417A-8F39-673F76E45D04}">
  <sheetPr codeName="Sheet6"/>
  <dimension ref="A1:E88"/>
  <sheetViews>
    <sheetView topLeftCell="A65" workbookViewId="0">
      <selection activeCell="C63" sqref="C63:C88"/>
    </sheetView>
  </sheetViews>
  <sheetFormatPr defaultRowHeight="15" x14ac:dyDescent="0.25"/>
  <cols>
    <col min="1" max="1" width="40.28515625" customWidth="1"/>
    <col min="2" max="2" width="83.42578125" customWidth="1"/>
    <col min="3" max="3" width="32.7109375" customWidth="1"/>
    <col min="4" max="4" width="23.7109375" style="55" customWidth="1"/>
    <col min="5" max="5" width="23.28515625" customWidth="1"/>
  </cols>
  <sheetData>
    <row r="1" spans="1:5" s="40" customFormat="1" ht="15.75" thickBot="1" x14ac:dyDescent="0.3">
      <c r="A1" s="52" t="s">
        <v>1294</v>
      </c>
      <c r="B1" s="53" t="s">
        <v>1307</v>
      </c>
      <c r="D1" s="55"/>
      <c r="E1" t="str" cm="1">
        <f t="array" ref="E1">IF(IsBlackTotalCell(B1),_xlfn.CONCAT(BuildReportIdText(A1),"=sum"),C1)</f>
        <v>NTR_GMP=sum</v>
      </c>
    </row>
    <row r="2" spans="1:5" s="32" customFormat="1" ht="15.75" thickBot="1" x14ac:dyDescent="0.3">
      <c r="A2" s="33" t="s">
        <v>1308</v>
      </c>
      <c r="B2" s="31" t="s">
        <v>1233</v>
      </c>
      <c r="C2" s="32" t="s">
        <v>726</v>
      </c>
      <c r="D2" s="55"/>
      <c r="E2" t="str" cm="1">
        <f t="array" ref="E2">IF(IsBlackTotalCell(B2),_xlfn.CONCAT(BuildReportIdText(A2),"=sum"),C2)</f>
        <v>NTR_GMP_1</v>
      </c>
    </row>
    <row r="3" spans="1:5" s="32" customFormat="1" ht="15.75" thickBot="1" x14ac:dyDescent="0.3">
      <c r="A3" s="33" t="s">
        <v>1309</v>
      </c>
      <c r="B3" s="31" t="s">
        <v>1235</v>
      </c>
      <c r="C3" s="32" t="s">
        <v>728</v>
      </c>
      <c r="D3" s="55"/>
      <c r="E3" t="str" cm="1">
        <f t="array" ref="E3">IF(IsBlackTotalCell(B3),_xlfn.CONCAT(BuildReportIdText(A3),"=sum"),C3)</f>
        <v>NTR_GMP_2</v>
      </c>
    </row>
    <row r="4" spans="1:5" s="40" customFormat="1" ht="27.75" thickBot="1" x14ac:dyDescent="0.3">
      <c r="A4" s="52" t="s">
        <v>1310</v>
      </c>
      <c r="B4" s="53" t="s">
        <v>1311</v>
      </c>
      <c r="D4" s="55"/>
      <c r="E4" t="str" cm="1">
        <f t="array" ref="E4">IF(IsBlackTotalCell(B4),_xlfn.CONCAT(BuildReportIdText(A4),"=sum"),C4)</f>
        <v>NTR_GMP_MM=sum</v>
      </c>
    </row>
    <row r="5" spans="1:5" s="32" customFormat="1" ht="15.75" thickBot="1" x14ac:dyDescent="0.3">
      <c r="A5" s="33" t="s">
        <v>1312</v>
      </c>
      <c r="B5" s="31" t="s">
        <v>1233</v>
      </c>
      <c r="C5" s="32" t="s">
        <v>730</v>
      </c>
      <c r="D5" s="55"/>
      <c r="E5" t="str" cm="1">
        <f t="array" ref="E5">IF(IsBlackTotalCell(B5),_xlfn.CONCAT(BuildReportIdText(A5),"=sum"),C5)</f>
        <v>NTR_GMP_MM_1</v>
      </c>
    </row>
    <row r="6" spans="1:5" s="32" customFormat="1" ht="15.75" thickBot="1" x14ac:dyDescent="0.3">
      <c r="A6" s="33" t="s">
        <v>1313</v>
      </c>
      <c r="B6" s="31" t="s">
        <v>1235</v>
      </c>
      <c r="C6" s="32" t="s">
        <v>732</v>
      </c>
      <c r="D6" s="55"/>
      <c r="E6" t="str" cm="1">
        <f t="array" ref="E6">IF(IsBlackTotalCell(B6),_xlfn.CONCAT(BuildReportIdText(A6),"=sum"),C6)</f>
        <v>NTR_GMP_MM_2</v>
      </c>
    </row>
    <row r="7" spans="1:5" s="40" customFormat="1" ht="27.75" thickBot="1" x14ac:dyDescent="0.3">
      <c r="A7" s="52" t="s">
        <v>1314</v>
      </c>
      <c r="B7" s="53" t="s">
        <v>1315</v>
      </c>
      <c r="C7" s="40" t="s">
        <v>734</v>
      </c>
      <c r="D7" s="55"/>
      <c r="E7" t="str" cm="1">
        <f t="array" ref="E7">IF(IsBlackTotalCell(B7),_xlfn.CONCAT(BuildReportIdText(A7),"=sum"),C7)</f>
        <v>GMP_SM=sum</v>
      </c>
    </row>
    <row r="8" spans="1:5" s="32" customFormat="1" ht="15.75" thickBot="1" x14ac:dyDescent="0.3">
      <c r="A8" s="33" t="s">
        <v>1316</v>
      </c>
      <c r="B8" s="31" t="s">
        <v>1233</v>
      </c>
      <c r="C8" s="32" t="s">
        <v>734</v>
      </c>
      <c r="D8" s="55"/>
      <c r="E8" t="str" cm="1">
        <f t="array" ref="E8">IF(IsBlackTotalCell(B8),_xlfn.CONCAT(BuildReportIdText(A8),"=sum"),C8)</f>
        <v>GMP_SM_1</v>
      </c>
    </row>
    <row r="9" spans="1:5" s="32" customFormat="1" ht="15.75" thickBot="1" x14ac:dyDescent="0.3">
      <c r="A9" s="33" t="s">
        <v>1317</v>
      </c>
      <c r="B9" s="31" t="s">
        <v>1235</v>
      </c>
      <c r="C9" s="32" t="s">
        <v>736</v>
      </c>
      <c r="D9" s="55"/>
      <c r="E9" t="str" cm="1">
        <f t="array" ref="E9">IF(IsBlackTotalCell(B9),_xlfn.CONCAT(BuildReportIdText(A9),"=sum"),C9)</f>
        <v>GMP_SM_2</v>
      </c>
    </row>
    <row r="10" spans="1:5" s="40" customFormat="1" ht="28.5" thickBot="1" x14ac:dyDescent="0.3">
      <c r="A10" s="38" t="s">
        <v>1318</v>
      </c>
      <c r="B10" s="54" t="s">
        <v>1319</v>
      </c>
      <c r="D10" s="55"/>
      <c r="E10" t="str" cm="1">
        <f t="array" ref="E10">IF(IsBlackTotalCell(B10),_xlfn.CONCAT(BuildReportIdText(A10),"=sum"),C10)</f>
        <v>NUT_VITA_1=sum</v>
      </c>
    </row>
    <row r="11" spans="1:5" ht="15.75" thickBot="1" x14ac:dyDescent="0.3">
      <c r="A11" s="30" t="s">
        <v>1320</v>
      </c>
      <c r="B11" s="30" t="s">
        <v>1321</v>
      </c>
      <c r="C11" t="s">
        <v>738</v>
      </c>
      <c r="E11" t="str" cm="1">
        <f t="array" ref="E11">IF(IsBlackTotalCell(B11),_xlfn.CONCAT(BuildReportIdText(A11),"=sum"),C11)</f>
        <v>NUT_VITA_1_1</v>
      </c>
    </row>
    <row r="12" spans="1:5" ht="15.75" thickBot="1" x14ac:dyDescent="0.3">
      <c r="A12" s="30" t="s">
        <v>1322</v>
      </c>
      <c r="B12" s="30" t="s">
        <v>1323</v>
      </c>
      <c r="C12" t="s">
        <v>740</v>
      </c>
      <c r="E12" t="str" cm="1">
        <f t="array" ref="E12">IF(IsBlackTotalCell(B12),_xlfn.CONCAT(BuildReportIdText(A12),"=sum"),C12)</f>
        <v>NUT_VITA_1_2</v>
      </c>
    </row>
    <row r="13" spans="1:5" s="40" customFormat="1" ht="24.75" thickBot="1" x14ac:dyDescent="0.3">
      <c r="A13" s="38" t="s">
        <v>1247</v>
      </c>
      <c r="B13" s="41" t="s">
        <v>1248</v>
      </c>
      <c r="D13" s="55"/>
      <c r="E13" t="str" cm="1">
        <f t="array" ref="E13">IF(IsBlackTotalCell(B13),_xlfn.CONCAT(BuildReportIdText(A13),"=sum"),C13)</f>
        <v>NUT_VITA_2=sum</v>
      </c>
    </row>
    <row r="14" spans="1:5" ht="15.75" thickBot="1" x14ac:dyDescent="0.3">
      <c r="A14" s="30" t="s">
        <v>1324</v>
      </c>
      <c r="B14" s="30" t="s">
        <v>1325</v>
      </c>
      <c r="C14" t="s">
        <v>742</v>
      </c>
      <c r="E14" t="str" cm="1">
        <f t="array" ref="E14">IF(IsBlackTotalCell(B14),_xlfn.CONCAT(BuildReportIdText(A14),"=sum"),C14)</f>
        <v>NUT_VITA_2_1</v>
      </c>
    </row>
    <row r="15" spans="1:5" ht="15.75" thickBot="1" x14ac:dyDescent="0.3">
      <c r="A15" s="30" t="s">
        <v>1326</v>
      </c>
      <c r="B15" s="30" t="s">
        <v>1327</v>
      </c>
      <c r="C15" t="s">
        <v>744</v>
      </c>
      <c r="E15" t="str" cm="1">
        <f t="array" ref="E15">IF(IsBlackTotalCell(B15),_xlfn.CONCAT(BuildReportIdText(A15),"=sum"),C15)</f>
        <v>NUT_VITA_2_2</v>
      </c>
    </row>
    <row r="16" spans="1:5" s="40" customFormat="1" ht="15.75" thickBot="1" x14ac:dyDescent="0.3">
      <c r="A16" s="52" t="s">
        <v>758</v>
      </c>
      <c r="B16" s="53" t="s">
        <v>1328</v>
      </c>
      <c r="D16" s="55"/>
      <c r="E16" t="str" cm="1">
        <f t="array" ref="E16">IF(IsBlackTotalCell(B16),_xlfn.CONCAT(BuildReportIdText(A16),"=sum"),C16)</f>
        <v>PLW_S4AM=sum</v>
      </c>
    </row>
    <row r="17" spans="1:5" s="32" customFormat="1" ht="15.75" thickBot="1" x14ac:dyDescent="0.3">
      <c r="A17" s="33" t="s">
        <v>1329</v>
      </c>
      <c r="B17" s="31" t="s">
        <v>1269</v>
      </c>
      <c r="C17" s="32" t="s">
        <v>760</v>
      </c>
      <c r="D17" s="55"/>
      <c r="E17" t="str" cm="1">
        <f t="array" ref="E17">IF(IsBlackTotalCell(B17),_xlfn.CONCAT(BuildReportIdText(A17),"=sum"),C17)</f>
        <v>PLW_S4AM_1</v>
      </c>
    </row>
    <row r="18" spans="1:5" s="32" customFormat="1" ht="15.75" thickBot="1" x14ac:dyDescent="0.3">
      <c r="A18" s="33" t="s">
        <v>1330</v>
      </c>
      <c r="B18" s="31" t="s">
        <v>1271</v>
      </c>
      <c r="C18" s="32" t="s">
        <v>762</v>
      </c>
      <c r="D18" s="55"/>
      <c r="E18" t="str" cm="1">
        <f t="array" ref="E18">IF(IsBlackTotalCell(B18),_xlfn.CONCAT(BuildReportIdText(A18),"=sum"),C18)</f>
        <v>PLW_S4AM_2</v>
      </c>
    </row>
    <row r="19" spans="1:5" s="36" customFormat="1" ht="15.75" thickBot="1" x14ac:dyDescent="0.3">
      <c r="A19" s="34" t="s">
        <v>1331</v>
      </c>
      <c r="B19" s="35" t="s">
        <v>1332</v>
      </c>
      <c r="D19" s="55"/>
      <c r="E19" cm="1">
        <f t="array" ref="E19">IF(IsBlackTotalCell(B19),_xlfn.CONCAT(BuildReportIdText(A19),"=sum"),C19)</f>
        <v>0</v>
      </c>
    </row>
    <row r="20" spans="1:5" s="32" customFormat="1" ht="15.75" thickBot="1" x14ac:dyDescent="0.3">
      <c r="A20" s="30" t="s">
        <v>1333</v>
      </c>
      <c r="B20" s="31" t="s">
        <v>1233</v>
      </c>
      <c r="C20" s="32" t="s">
        <v>768</v>
      </c>
      <c r="D20" s="55"/>
      <c r="E20" t="str" cm="1">
        <f t="array" ref="E20">IF(IsBlackTotalCell(B20),_xlfn.CONCAT(BuildReportIdText(A20),"=sum"),C20)</f>
        <v>NUT_U5SMN_1_1</v>
      </c>
    </row>
    <row r="21" spans="1:5" s="32" customFormat="1" ht="15.75" thickBot="1" x14ac:dyDescent="0.3">
      <c r="A21" s="30" t="s">
        <v>1334</v>
      </c>
      <c r="B21" s="31" t="s">
        <v>1235</v>
      </c>
      <c r="C21" s="32" t="s">
        <v>770</v>
      </c>
      <c r="D21" s="55"/>
      <c r="E21" t="str" cm="1">
        <f t="array" ref="E21">IF(IsBlackTotalCell(B21),_xlfn.CONCAT(BuildReportIdText(A21),"=sum"),C21)</f>
        <v>NUT_U5SMN_1_2</v>
      </c>
    </row>
    <row r="22" spans="1:5" s="32" customFormat="1" ht="15.75" thickBot="1" x14ac:dyDescent="0.3">
      <c r="A22" s="30" t="s">
        <v>1335</v>
      </c>
      <c r="B22" s="31" t="s">
        <v>1336</v>
      </c>
      <c r="C22" s="32" t="s">
        <v>772</v>
      </c>
      <c r="D22" s="55"/>
      <c r="E22" t="str" cm="1">
        <f t="array" ref="E22">IF(IsBlackTotalCell(B22),_xlfn.CONCAT(BuildReportIdText(A22),"=sum"),C22)</f>
        <v>NUT_U5SMN_1_3</v>
      </c>
    </row>
    <row r="23" spans="1:5" s="36" customFormat="1" ht="27.75" thickBot="1" x14ac:dyDescent="0.3">
      <c r="A23" s="34" t="s">
        <v>1284</v>
      </c>
      <c r="B23" s="35" t="s">
        <v>1337</v>
      </c>
      <c r="D23" s="55"/>
      <c r="E23" cm="1">
        <f t="array" ref="E23">IF(IsBlackTotalCell(B23),_xlfn.CONCAT(BuildReportIdText(A23),"=sum"),C23)</f>
        <v>0</v>
      </c>
    </row>
    <row r="24" spans="1:5" s="32" customFormat="1" ht="15.75" thickBot="1" x14ac:dyDescent="0.3">
      <c r="A24" s="30" t="s">
        <v>1338</v>
      </c>
      <c r="B24" s="31" t="s">
        <v>1233</v>
      </c>
      <c r="C24" s="32" t="s">
        <v>774</v>
      </c>
      <c r="D24" s="55"/>
      <c r="E24" t="str" cm="1">
        <f t="array" ref="E24">IF(IsBlackTotalCell(B24),_xlfn.CONCAT(BuildReportIdText(A24),"=sum"),C24)</f>
        <v>NUT_U5SMN_MAM_1_1</v>
      </c>
    </row>
    <row r="25" spans="1:5" s="32" customFormat="1" ht="15.75" thickBot="1" x14ac:dyDescent="0.3">
      <c r="A25" s="30" t="s">
        <v>1339</v>
      </c>
      <c r="B25" s="31" t="s">
        <v>1235</v>
      </c>
      <c r="C25" s="32" t="s">
        <v>776</v>
      </c>
      <c r="D25" s="55"/>
      <c r="E25" t="str" cm="1">
        <f t="array" ref="E25">IF(IsBlackTotalCell(B25),_xlfn.CONCAT(BuildReportIdText(A25),"=sum"),C25)</f>
        <v>NUT_U5SMN_MAM_1_2</v>
      </c>
    </row>
    <row r="26" spans="1:5" s="32" customFormat="1" ht="15.75" thickBot="1" x14ac:dyDescent="0.3">
      <c r="A26" s="30" t="s">
        <v>1340</v>
      </c>
      <c r="B26" s="31" t="s">
        <v>1336</v>
      </c>
      <c r="C26" s="32" t="s">
        <v>778</v>
      </c>
      <c r="D26" s="55"/>
      <c r="E26" t="str" cm="1">
        <f t="array" ref="E26">IF(IsBlackTotalCell(B26),_xlfn.CONCAT(BuildReportIdText(A26),"=sum"),C26)</f>
        <v>NUT_U5SMN_MAM_1_3</v>
      </c>
    </row>
    <row r="27" spans="1:5" s="40" customFormat="1" ht="15.75" thickBot="1" x14ac:dyDescent="0.3">
      <c r="A27" s="38" t="s">
        <v>1341</v>
      </c>
      <c r="B27" s="39" t="s">
        <v>1342</v>
      </c>
      <c r="D27" s="55"/>
      <c r="E27" t="str" cm="1">
        <f t="array" ref="E27">IF(IsBlackTotalCell(B27),_xlfn.CONCAT(BuildReportIdText(A27),"=sum"),C27)</f>
        <v>NUT_TX_U5MN_SAM_Beging_SC_1=sum</v>
      </c>
    </row>
    <row r="28" spans="1:5" s="32" customFormat="1" ht="15.75" thickBot="1" x14ac:dyDescent="0.3">
      <c r="A28" s="30" t="s">
        <v>1343</v>
      </c>
      <c r="B28" s="30" t="s">
        <v>1344</v>
      </c>
      <c r="C28" s="32" t="s">
        <v>786</v>
      </c>
      <c r="D28" s="55"/>
      <c r="E28" t="str" cm="1">
        <f t="array" ref="E28">IF(IsBlackTotalCell(B28),_xlfn.CONCAT(BuildReportIdText(A28),"=sum"),C28)</f>
        <v>NUT_TX-U5MN_SAM_Beging_SC_1_1</v>
      </c>
    </row>
    <row r="29" spans="1:5" s="32" customFormat="1" ht="15.75" thickBot="1" x14ac:dyDescent="0.3">
      <c r="A29" s="30" t="s">
        <v>1345</v>
      </c>
      <c r="B29" s="30" t="s">
        <v>1346</v>
      </c>
      <c r="C29" s="32" t="s">
        <v>788</v>
      </c>
      <c r="D29" s="55"/>
      <c r="E29" t="str" cm="1">
        <f t="array" ref="E29">IF(IsBlackTotalCell(B29),_xlfn.CONCAT(BuildReportIdText(A29),"=sum"),C29)</f>
        <v>NUT_TX-U5MN_SAM_Beging_SC_1_2</v>
      </c>
    </row>
    <row r="30" spans="1:5" s="32" customFormat="1" ht="15.75" thickBot="1" x14ac:dyDescent="0.3">
      <c r="A30" s="30" t="s">
        <v>1347</v>
      </c>
      <c r="B30" s="30" t="s">
        <v>1348</v>
      </c>
      <c r="C30" s="32" t="s">
        <v>790</v>
      </c>
      <c r="D30" s="55"/>
      <c r="E30" t="str" cm="1">
        <f t="array" ref="E30">IF(IsBlackTotalCell(B30),_xlfn.CONCAT(BuildReportIdText(A30),"=sum"),C30)</f>
        <v>NUT_TX-U5MN_SAM_Beging_SC_1_3</v>
      </c>
    </row>
    <row r="31" spans="1:5" s="40" customFormat="1" ht="24.75" thickBot="1" x14ac:dyDescent="0.3">
      <c r="A31" s="38" t="s">
        <v>1349</v>
      </c>
      <c r="B31" s="39" t="s">
        <v>1350</v>
      </c>
      <c r="D31" s="55"/>
      <c r="E31" t="str" cm="1">
        <f t="array" ref="E31">IF(IsBlackTotalCell(B31),_xlfn.CONCAT(BuildReportIdText(A31),"=sum"),C31)</f>
        <v>NUT_TX_U5MN_SAM_Adt_SC_2=sum</v>
      </c>
    </row>
    <row r="32" spans="1:5" s="32" customFormat="1" ht="15.75" thickBot="1" x14ac:dyDescent="0.3">
      <c r="A32" s="30" t="s">
        <v>1351</v>
      </c>
      <c r="B32" s="30" t="s">
        <v>1344</v>
      </c>
      <c r="C32" s="32" t="s">
        <v>792</v>
      </c>
      <c r="D32" s="55"/>
      <c r="E32" t="str" cm="1">
        <f t="array" ref="E32">IF(IsBlackTotalCell(B32),_xlfn.CONCAT(BuildReportIdText(A32),"=sum"),C32)</f>
        <v>NUT_TX-U5MN_SAM__Adt_SC_2_1</v>
      </c>
    </row>
    <row r="33" spans="1:5" s="32" customFormat="1" ht="15.75" thickBot="1" x14ac:dyDescent="0.3">
      <c r="A33" s="30" t="s">
        <v>1352</v>
      </c>
      <c r="B33" s="30" t="s">
        <v>1346</v>
      </c>
      <c r="C33" s="32" t="s">
        <v>794</v>
      </c>
      <c r="D33" s="55"/>
      <c r="E33" t="str" cm="1">
        <f t="array" ref="E33">IF(IsBlackTotalCell(B33),_xlfn.CONCAT(BuildReportIdText(A33),"=sum"),C33)</f>
        <v>NUT_TX-U5MN_SAM__Adt_SC_2_2</v>
      </c>
    </row>
    <row r="34" spans="1:5" s="32" customFormat="1" ht="15.75" thickBot="1" x14ac:dyDescent="0.3">
      <c r="A34" s="30" t="s">
        <v>1353</v>
      </c>
      <c r="B34" s="30" t="s">
        <v>1348</v>
      </c>
      <c r="C34" s="32" t="s">
        <v>796</v>
      </c>
      <c r="D34" s="55"/>
      <c r="E34" t="str" cm="1">
        <f t="array" ref="E34">IF(IsBlackTotalCell(B34),_xlfn.CONCAT(BuildReportIdText(A34),"=sum"),C34)</f>
        <v>NUT_TX-U5MN_SAM__Adt_SC_2_3</v>
      </c>
    </row>
    <row r="35" spans="1:5" s="40" customFormat="1" ht="15.75" thickBot="1" x14ac:dyDescent="0.3">
      <c r="A35" s="38" t="s">
        <v>1354</v>
      </c>
      <c r="B35" s="39" t="s">
        <v>1355</v>
      </c>
      <c r="D35" s="55"/>
      <c r="E35" t="str" cm="1">
        <f t="array" ref="E35">IF(IsBlackTotalCell(B35),_xlfn.CONCAT(BuildReportIdText(A35),"=sum"),C35)</f>
        <v>NUT_TX_U5MN_SAM_Stab_SC_3=sum</v>
      </c>
    </row>
    <row r="36" spans="1:5" s="32" customFormat="1" ht="15.75" thickBot="1" x14ac:dyDescent="0.3">
      <c r="A36" s="30" t="s">
        <v>1356</v>
      </c>
      <c r="B36" s="30" t="s">
        <v>1344</v>
      </c>
      <c r="C36" s="32" t="s">
        <v>798</v>
      </c>
      <c r="D36" s="55"/>
      <c r="E36" t="str" cm="1">
        <f t="array" ref="E36">IF(IsBlackTotalCell(B36),_xlfn.CONCAT(BuildReportIdText(A36),"=sum"),C36)</f>
        <v>NUT_TX-U5MN_SAM_Stab_SC_3_1</v>
      </c>
    </row>
    <row r="37" spans="1:5" s="32" customFormat="1" ht="15.75" thickBot="1" x14ac:dyDescent="0.3">
      <c r="A37" s="30" t="s">
        <v>1357</v>
      </c>
      <c r="B37" s="30" t="s">
        <v>1346</v>
      </c>
      <c r="C37" s="32" t="s">
        <v>800</v>
      </c>
      <c r="D37" s="55"/>
      <c r="E37" t="str" cm="1">
        <f t="array" ref="E37">IF(IsBlackTotalCell(B37),_xlfn.CONCAT(BuildReportIdText(A37),"=sum"),C37)</f>
        <v>NUT_TX-U5MN_SAM_Stab_SC_3_2</v>
      </c>
    </row>
    <row r="38" spans="1:5" s="32" customFormat="1" ht="15.75" thickBot="1" x14ac:dyDescent="0.3">
      <c r="A38" s="30" t="s">
        <v>1358</v>
      </c>
      <c r="B38" s="30" t="s">
        <v>1348</v>
      </c>
      <c r="C38" s="32" t="s">
        <v>802</v>
      </c>
      <c r="D38" s="55"/>
      <c r="E38" t="str" cm="1">
        <f t="array" ref="E38">IF(IsBlackTotalCell(B38),_xlfn.CONCAT(BuildReportIdText(A38),"=sum"),C38)</f>
        <v>NUT_TX-U5MN_SAM_Stab_SC_3_3</v>
      </c>
    </row>
    <row r="39" spans="1:5" s="40" customFormat="1" ht="15.75" thickBot="1" x14ac:dyDescent="0.3">
      <c r="A39" s="38" t="s">
        <v>1359</v>
      </c>
      <c r="B39" s="41" t="s">
        <v>1360</v>
      </c>
      <c r="D39" s="55"/>
      <c r="E39" t="str" cm="1">
        <f t="array" ref="E39">IF(IsBlackTotalCell(B39),_xlfn.CONCAT(BuildReportIdText(A39),"=sum"),C39)</f>
        <v>NUT_TX_U5MN_SAM_Cur_SC_4=sum</v>
      </c>
    </row>
    <row r="40" spans="1:5" s="32" customFormat="1" ht="15.75" thickBot="1" x14ac:dyDescent="0.3">
      <c r="A40" s="30" t="s">
        <v>1361</v>
      </c>
      <c r="B40" s="37" t="s">
        <v>1344</v>
      </c>
      <c r="C40" s="32" t="s">
        <v>804</v>
      </c>
      <c r="D40" s="55"/>
      <c r="E40" t="str" cm="1">
        <f t="array" ref="E40">IF(IsBlackTotalCell(B40),_xlfn.CONCAT(BuildReportIdText(A40),"=sum"),C40)</f>
        <v>NUT_TX-U5MN_SAM_Cur_SC_4_1</v>
      </c>
    </row>
    <row r="41" spans="1:5" s="32" customFormat="1" ht="15.75" thickBot="1" x14ac:dyDescent="0.3">
      <c r="A41" s="30" t="s">
        <v>1362</v>
      </c>
      <c r="B41" s="37" t="s">
        <v>1346</v>
      </c>
      <c r="C41" s="32" t="s">
        <v>806</v>
      </c>
      <c r="D41" s="55"/>
      <c r="E41" t="str" cm="1">
        <f t="array" ref="E41">IF(IsBlackTotalCell(B41),_xlfn.CONCAT(BuildReportIdText(A41),"=sum"),C41)</f>
        <v>NUT_TX-U5MN_SAM_Cur_SC_4_2</v>
      </c>
    </row>
    <row r="42" spans="1:5" s="32" customFormat="1" ht="15.75" thickBot="1" x14ac:dyDescent="0.3">
      <c r="A42" s="30" t="s">
        <v>1363</v>
      </c>
      <c r="B42" s="37" t="s">
        <v>1348</v>
      </c>
      <c r="C42" s="32" t="s">
        <v>808</v>
      </c>
      <c r="D42" s="55"/>
      <c r="E42" t="str" cm="1">
        <f t="array" ref="E42">IF(IsBlackTotalCell(B42),_xlfn.CONCAT(BuildReportIdText(A42),"=sum"),C42)</f>
        <v>NUT_TX-U5MN_SAM_Cur_SC_4_3</v>
      </c>
    </row>
    <row r="43" spans="1:5" s="40" customFormat="1" ht="15.75" thickBot="1" x14ac:dyDescent="0.3">
      <c r="A43" s="38" t="s">
        <v>1364</v>
      </c>
      <c r="B43" s="41" t="s">
        <v>1365</v>
      </c>
      <c r="D43" s="55"/>
      <c r="E43" t="str" cm="1">
        <f t="array" ref="E43">IF(IsBlackTotalCell(B43),_xlfn.CONCAT(BuildReportIdText(A43),"=sum"),C43)</f>
        <v>NUT_TX_U5MN_SAM_died_SC_5=sum</v>
      </c>
    </row>
    <row r="44" spans="1:5" s="32" customFormat="1" ht="15.75" thickBot="1" x14ac:dyDescent="0.3">
      <c r="A44" s="30" t="s">
        <v>1366</v>
      </c>
      <c r="B44" s="37" t="s">
        <v>1344</v>
      </c>
      <c r="C44" s="32" t="s">
        <v>810</v>
      </c>
      <c r="D44" s="55"/>
      <c r="E44" t="str" cm="1">
        <f t="array" ref="E44">IF(IsBlackTotalCell(B44),_xlfn.CONCAT(BuildReportIdText(A44),"=sum"),C44)</f>
        <v>NUT_TX-U5MN_SAM_died_SC_5_1</v>
      </c>
    </row>
    <row r="45" spans="1:5" s="32" customFormat="1" ht="15.75" thickBot="1" x14ac:dyDescent="0.3">
      <c r="A45" s="30" t="s">
        <v>1367</v>
      </c>
      <c r="B45" s="37" t="s">
        <v>1346</v>
      </c>
      <c r="C45" s="32" t="s">
        <v>812</v>
      </c>
      <c r="D45" s="55"/>
      <c r="E45" t="str" cm="1">
        <f t="array" ref="E45">IF(IsBlackTotalCell(B45),_xlfn.CONCAT(BuildReportIdText(A45),"=sum"),C45)</f>
        <v>NUT_TX-U5MN_SAM_died_SC_5_2</v>
      </c>
    </row>
    <row r="46" spans="1:5" s="32" customFormat="1" ht="15.75" thickBot="1" x14ac:dyDescent="0.3">
      <c r="A46" s="30" t="s">
        <v>1368</v>
      </c>
      <c r="B46" s="37" t="s">
        <v>1348</v>
      </c>
      <c r="C46" s="32" t="s">
        <v>814</v>
      </c>
      <c r="D46" s="55"/>
      <c r="E46" t="str" cm="1">
        <f t="array" ref="E46">IF(IsBlackTotalCell(B46),_xlfn.CONCAT(BuildReportIdText(A46),"=sum"),C46)</f>
        <v>NUT_TX-U5MN_SAM_died_SC_5_3</v>
      </c>
    </row>
    <row r="47" spans="1:5" s="40" customFormat="1" ht="15.75" thickBot="1" x14ac:dyDescent="0.3">
      <c r="A47" s="38" t="s">
        <v>1369</v>
      </c>
      <c r="B47" s="41" t="s">
        <v>1370</v>
      </c>
      <c r="D47" s="55"/>
      <c r="E47" t="str" cm="1">
        <f t="array" ref="E47">IF(IsBlackTotalCell(B47),_xlfn.CONCAT(BuildReportIdText(A47),"=sum"),C47)</f>
        <v>NUT_TX_U5MN_SAM_TO_SC_6=sum</v>
      </c>
    </row>
    <row r="48" spans="1:5" s="32" customFormat="1" ht="15.75" thickBot="1" x14ac:dyDescent="0.3">
      <c r="A48" s="30" t="s">
        <v>1371</v>
      </c>
      <c r="B48" s="37" t="s">
        <v>1344</v>
      </c>
      <c r="C48" s="32" t="s">
        <v>816</v>
      </c>
      <c r="D48" s="55"/>
      <c r="E48" t="str" cm="1">
        <f t="array" ref="E48">IF(IsBlackTotalCell(B48),_xlfn.CONCAT(BuildReportIdText(A48),"=sum"),C48)</f>
        <v>NUT_TX-U5MN_SAM_TO_SC_6_1</v>
      </c>
    </row>
    <row r="49" spans="1:5" s="32" customFormat="1" ht="15.75" thickBot="1" x14ac:dyDescent="0.3">
      <c r="A49" s="30" t="s">
        <v>1372</v>
      </c>
      <c r="B49" s="37" t="s">
        <v>1346</v>
      </c>
      <c r="C49" s="32" t="s">
        <v>818</v>
      </c>
      <c r="D49" s="55"/>
      <c r="E49" t="str" cm="1">
        <f t="array" ref="E49">IF(IsBlackTotalCell(B49),_xlfn.CONCAT(BuildReportIdText(A49),"=sum"),C49)</f>
        <v>NUT_TX-U5MN_SAM_TO_SC_6_2</v>
      </c>
    </row>
    <row r="50" spans="1:5" s="32" customFormat="1" ht="15.75" thickBot="1" x14ac:dyDescent="0.3">
      <c r="A50" s="30" t="s">
        <v>1373</v>
      </c>
      <c r="B50" s="37" t="s">
        <v>1348</v>
      </c>
      <c r="C50" s="32" t="s">
        <v>820</v>
      </c>
      <c r="D50" s="55"/>
      <c r="E50" t="str" cm="1">
        <f t="array" ref="E50">IF(IsBlackTotalCell(B50),_xlfn.CONCAT(BuildReportIdText(A50),"=sum"),C50)</f>
        <v>NUT_TX-U5MN_SAM_TO_SC_6_3</v>
      </c>
    </row>
    <row r="51" spans="1:5" s="40" customFormat="1" ht="15.75" thickBot="1" x14ac:dyDescent="0.3">
      <c r="A51" s="38" t="s">
        <v>1374</v>
      </c>
      <c r="B51" s="41" t="s">
        <v>1375</v>
      </c>
      <c r="D51" s="55"/>
      <c r="E51" t="str" cm="1">
        <f t="array" ref="E51">IF(IsBlackTotalCell(B51),_xlfn.CONCAT(BuildReportIdText(A51),"=sum"),C51)</f>
        <v>NUT_TX_U5MN_SAM_Def_SC_7=sum</v>
      </c>
    </row>
    <row r="52" spans="1:5" s="32" customFormat="1" ht="15.75" thickBot="1" x14ac:dyDescent="0.3">
      <c r="A52" s="30" t="s">
        <v>1376</v>
      </c>
      <c r="B52" s="37" t="s">
        <v>1344</v>
      </c>
      <c r="C52" s="32" t="s">
        <v>822</v>
      </c>
      <c r="D52" s="55"/>
      <c r="E52" t="str" cm="1">
        <f t="array" ref="E52">IF(IsBlackTotalCell(B52),_xlfn.CONCAT(BuildReportIdText(A52),"=sum"),C52)</f>
        <v>NUT_TX-U5MN_SAM_Def_SC_7_1</v>
      </c>
    </row>
    <row r="53" spans="1:5" s="32" customFormat="1" ht="15.75" thickBot="1" x14ac:dyDescent="0.3">
      <c r="A53" s="30" t="s">
        <v>1377</v>
      </c>
      <c r="B53" s="37" t="s">
        <v>1346</v>
      </c>
      <c r="C53" s="32" t="s">
        <v>824</v>
      </c>
      <c r="D53" s="55"/>
      <c r="E53" t="str" cm="1">
        <f t="array" ref="E53">IF(IsBlackTotalCell(B53),_xlfn.CONCAT(BuildReportIdText(A53),"=sum"),C53)</f>
        <v>NUT_TX-U5MN_SAM_Def_SC_7_2</v>
      </c>
    </row>
    <row r="54" spans="1:5" s="32" customFormat="1" ht="15.75" thickBot="1" x14ac:dyDescent="0.3">
      <c r="A54" s="30" t="s">
        <v>1378</v>
      </c>
      <c r="B54" s="37" t="s">
        <v>1348</v>
      </c>
      <c r="C54" s="32" t="s">
        <v>826</v>
      </c>
      <c r="D54" s="55"/>
      <c r="E54" t="str" cm="1">
        <f t="array" ref="E54">IF(IsBlackTotalCell(B54),_xlfn.CONCAT(BuildReportIdText(A54),"=sum"),C54)</f>
        <v>NUT_TX-U5MN_SAM_Def_SC_7_3</v>
      </c>
    </row>
    <row r="55" spans="1:5" s="40" customFormat="1" ht="15.75" thickBot="1" x14ac:dyDescent="0.3">
      <c r="A55" s="38" t="s">
        <v>1379</v>
      </c>
      <c r="B55" s="41" t="s">
        <v>1380</v>
      </c>
      <c r="D55" s="55"/>
      <c r="E55" t="str" cm="1">
        <f t="array" ref="E55">IF(IsBlackTotalCell(B55),_xlfn.CONCAT(BuildReportIdText(A55),"=sum"),C55)</f>
        <v>NUT_TX_U5MN_SAM_NR_SC_8=sum</v>
      </c>
    </row>
    <row r="56" spans="1:5" s="32" customFormat="1" ht="15.75" thickBot="1" x14ac:dyDescent="0.3">
      <c r="A56" s="30" t="s">
        <v>1381</v>
      </c>
      <c r="B56" s="37" t="s">
        <v>1344</v>
      </c>
      <c r="C56" s="32" t="s">
        <v>828</v>
      </c>
      <c r="D56" s="55"/>
      <c r="E56" t="str" cm="1">
        <f t="array" ref="E56">IF(IsBlackTotalCell(B56),_xlfn.CONCAT(BuildReportIdText(A56),"=sum"),C56)</f>
        <v>NUT_TX-U5MN_SAM_NR_SC_8_1</v>
      </c>
    </row>
    <row r="57" spans="1:5" s="32" customFormat="1" ht="15.75" thickBot="1" x14ac:dyDescent="0.3">
      <c r="A57" s="30" t="s">
        <v>1382</v>
      </c>
      <c r="B57" s="37" t="s">
        <v>1346</v>
      </c>
      <c r="C57" s="32" t="s">
        <v>830</v>
      </c>
      <c r="D57" s="55"/>
      <c r="E57" t="str" cm="1">
        <f t="array" ref="E57">IF(IsBlackTotalCell(B57),_xlfn.CONCAT(BuildReportIdText(A57),"=sum"),C57)</f>
        <v>NUT_TX-U5MN_SAM_NR_SC_8_2</v>
      </c>
    </row>
    <row r="58" spans="1:5" s="32" customFormat="1" ht="15.75" thickBot="1" x14ac:dyDescent="0.3">
      <c r="A58" s="30" t="s">
        <v>1383</v>
      </c>
      <c r="B58" s="37" t="s">
        <v>1348</v>
      </c>
      <c r="C58" s="32" t="s">
        <v>832</v>
      </c>
      <c r="D58" s="55"/>
      <c r="E58" t="str" cm="1">
        <f t="array" ref="E58">IF(IsBlackTotalCell(B58),_xlfn.CONCAT(BuildReportIdText(A58),"=sum"),C58)</f>
        <v>NUT_TX-U5MN_SAM_NR_SC_8_3</v>
      </c>
    </row>
    <row r="59" spans="1:5" s="40" customFormat="1" ht="15.75" thickBot="1" x14ac:dyDescent="0.3">
      <c r="A59" s="38" t="s">
        <v>1384</v>
      </c>
      <c r="B59" s="41" t="s">
        <v>1385</v>
      </c>
      <c r="D59" s="55"/>
      <c r="E59" t="str" cm="1">
        <f t="array" ref="E59">IF(IsBlackTotalCell(B59),_xlfn.CONCAT(BuildReportIdText(A59),"=sum"),C59)</f>
        <v>NUT_TX_U5MN_SAM_Ext_SC_9=sum</v>
      </c>
    </row>
    <row r="60" spans="1:5" s="32" customFormat="1" ht="15.75" thickBot="1" x14ac:dyDescent="0.3">
      <c r="A60" s="30" t="s">
        <v>1386</v>
      </c>
      <c r="B60" s="37" t="s">
        <v>1344</v>
      </c>
      <c r="C60" s="32" t="s">
        <v>834</v>
      </c>
      <c r="D60" s="55"/>
      <c r="E60" t="str" cm="1">
        <f t="array" ref="E60">IF(IsBlackTotalCell(B60),_xlfn.CONCAT(BuildReportIdText(A60),"=sum"),C60)</f>
        <v>NUT_TX-U5MN_SAM_Ext_SC_9_1</v>
      </c>
    </row>
    <row r="61" spans="1:5" s="32" customFormat="1" ht="15.75" thickBot="1" x14ac:dyDescent="0.3">
      <c r="A61" s="30" t="s">
        <v>1387</v>
      </c>
      <c r="B61" s="37" t="s">
        <v>1346</v>
      </c>
      <c r="C61" s="32" t="s">
        <v>836</v>
      </c>
      <c r="D61" s="55"/>
      <c r="E61" t="str" cm="1">
        <f t="array" ref="E61">IF(IsBlackTotalCell(B61),_xlfn.CONCAT(BuildReportIdText(A61),"=sum"),C61)</f>
        <v>NUT_TX-U5MN_SAM_Ext_SC_9_2</v>
      </c>
    </row>
    <row r="62" spans="1:5" s="32" customFormat="1" ht="15.75" thickBot="1" x14ac:dyDescent="0.3">
      <c r="A62" s="30" t="s">
        <v>1388</v>
      </c>
      <c r="B62" s="30" t="s">
        <v>1348</v>
      </c>
      <c r="C62" s="32" t="s">
        <v>838</v>
      </c>
      <c r="D62" s="55"/>
      <c r="E62" t="str" cm="1">
        <f t="array" ref="E62">IF(IsBlackTotalCell(B62),_xlfn.CONCAT(BuildReportIdText(A62),"=sum"),C62)</f>
        <v>NUT_TX-U5MN_SAM_Ext_SC_9_3</v>
      </c>
    </row>
    <row r="63" spans="1:5" ht="15.75" thickBot="1" x14ac:dyDescent="0.3">
      <c r="A63" s="44" t="s">
        <v>840</v>
      </c>
      <c r="B63" s="43" t="s">
        <v>1296</v>
      </c>
      <c r="C63" t="s">
        <v>840</v>
      </c>
      <c r="E63" t="str" cm="1">
        <f t="array" ref="E63">IF(IsBlackTotalCell(B63),_xlfn.CONCAT(BuildReportIdText(A63),"=sum"),C63)</f>
        <v>NUT_TX_U5MN_SAM_OTP=sum</v>
      </c>
    </row>
    <row r="64" spans="1:5" ht="27.75" thickBot="1" x14ac:dyDescent="0.3">
      <c r="A64" s="45" t="s">
        <v>842</v>
      </c>
      <c r="B64" s="43" t="s">
        <v>1299</v>
      </c>
      <c r="C64" t="s">
        <v>842</v>
      </c>
      <c r="E64" t="str" cm="1">
        <f t="array" ref="E64">IF(IsBlackTotalCell(B64),_xlfn.CONCAT(BuildReportIdText(A64),"=sum"),C64)</f>
        <v>NUT_TX_U5MN_SAM_Adt_OTP=sum</v>
      </c>
    </row>
    <row r="65" spans="1:5" ht="15.75" thickBot="1" x14ac:dyDescent="0.3">
      <c r="A65" s="44" t="s">
        <v>844</v>
      </c>
      <c r="B65" s="44" t="s">
        <v>1360</v>
      </c>
      <c r="C65" t="s">
        <v>844</v>
      </c>
      <c r="E65" t="str" cm="1">
        <f t="array" ref="E65">IF(IsBlackTotalCell(B65),_xlfn.CONCAT(BuildReportIdText(A65),"=sum"),C65)</f>
        <v>NUT_TX_U5MN_SAM_Cur_OTP_1=sum</v>
      </c>
    </row>
    <row r="66" spans="1:5" ht="15.75" thickBot="1" x14ac:dyDescent="0.3">
      <c r="A66" s="44" t="s">
        <v>846</v>
      </c>
      <c r="B66" s="44" t="s">
        <v>1365</v>
      </c>
      <c r="C66" t="s">
        <v>846</v>
      </c>
      <c r="E66" t="str" cm="1">
        <f t="array" ref="E66">IF(IsBlackTotalCell(B66),_xlfn.CONCAT(BuildReportIdText(A66),"=sum"),C66)</f>
        <v>NUT_TX_U5MN_SAM_died_OTP_2=sum</v>
      </c>
    </row>
    <row r="67" spans="1:5" ht="15.75" thickBot="1" x14ac:dyDescent="0.3">
      <c r="A67" s="44" t="s">
        <v>848</v>
      </c>
      <c r="B67" s="44" t="s">
        <v>1370</v>
      </c>
      <c r="C67" t="s">
        <v>848</v>
      </c>
      <c r="E67" t="str" cm="1">
        <f t="array" ref="E67">IF(IsBlackTotalCell(B67),_xlfn.CONCAT(BuildReportIdText(A67),"=sum"),C67)</f>
        <v>NUT_TX_U5MN_SAM_TO_OTP_3=sum</v>
      </c>
    </row>
    <row r="68" spans="1:5" ht="15.75" thickBot="1" x14ac:dyDescent="0.3">
      <c r="A68" s="44" t="s">
        <v>850</v>
      </c>
      <c r="B68" s="44" t="s">
        <v>1375</v>
      </c>
      <c r="C68" t="s">
        <v>850</v>
      </c>
      <c r="E68" t="str" cm="1">
        <f t="array" ref="E68">IF(IsBlackTotalCell(B68),_xlfn.CONCAT(BuildReportIdText(A68),"=sum"),C68)</f>
        <v>NUT_TX_U5MN_SAM_Def_OTP_4=sum</v>
      </c>
    </row>
    <row r="69" spans="1:5" ht="15.75" thickBot="1" x14ac:dyDescent="0.3">
      <c r="A69" s="44" t="s">
        <v>852</v>
      </c>
      <c r="B69" s="44" t="s">
        <v>1380</v>
      </c>
      <c r="C69" t="s">
        <v>852</v>
      </c>
      <c r="E69" t="str" cm="1">
        <f t="array" ref="E69">IF(IsBlackTotalCell(B69),_xlfn.CONCAT(BuildReportIdText(A69),"=sum"),C69)</f>
        <v>NUT_TX_U5MN_SAM_NR_OTP_5=sum</v>
      </c>
    </row>
    <row r="70" spans="1:5" ht="27.75" thickBot="1" x14ac:dyDescent="0.3">
      <c r="A70" s="45" t="s">
        <v>854</v>
      </c>
      <c r="B70" s="43" t="s">
        <v>1385</v>
      </c>
      <c r="C70" t="s">
        <v>854</v>
      </c>
      <c r="E70" t="str" cm="1">
        <f t="array" ref="E70">IF(IsBlackTotalCell(B70),_xlfn.CONCAT(BuildReportIdText(A70),"=sum"),C70)</f>
        <v>NUT_TX_U5MN_SAM_Ext_OTP_E=sum</v>
      </c>
    </row>
    <row r="71" spans="1:5" ht="15.75" thickBot="1" x14ac:dyDescent="0.3">
      <c r="A71" s="45" t="s">
        <v>856</v>
      </c>
      <c r="B71" s="44" t="s">
        <v>1302</v>
      </c>
      <c r="C71" t="s">
        <v>856</v>
      </c>
      <c r="E71" t="str" cm="1">
        <f t="array" ref="E71">IF(IsBlackTotalCell(B71),_xlfn.CONCAT(BuildReportIdText(A71),"=sum"),C71)</f>
        <v>NUT_TX_U5MN__MAM_Beging_OTP=sum</v>
      </c>
    </row>
    <row r="72" spans="1:5" ht="27.75" thickBot="1" x14ac:dyDescent="0.3">
      <c r="A72" s="45" t="s">
        <v>858</v>
      </c>
      <c r="B72" s="44" t="s">
        <v>1389</v>
      </c>
      <c r="C72" t="s">
        <v>858</v>
      </c>
      <c r="E72" t="str" cm="1">
        <f t="array" ref="E72">IF(IsBlackTotalCell(B72),_xlfn.CONCAT(BuildReportIdText(A72),"=sum"),C72)</f>
        <v>NUT_TX_U5MN_MAM_Adt_TSFP=sum</v>
      </c>
    </row>
    <row r="73" spans="1:5" ht="15.75" thickBot="1" x14ac:dyDescent="0.3">
      <c r="A73" s="44" t="s">
        <v>862</v>
      </c>
      <c r="B73" s="47" t="s">
        <v>1360</v>
      </c>
      <c r="C73" t="s">
        <v>862</v>
      </c>
      <c r="E73" t="str" cm="1">
        <f t="array" ref="E73">IF(IsBlackTotalCell(B73),_xlfn.CONCAT(BuildReportIdText(A73),"=sum"),C73)</f>
        <v>NUT_TX_U5MN_SAM_Cur_TSFP_1=sum</v>
      </c>
    </row>
    <row r="74" spans="1:5" ht="15.75" thickBot="1" x14ac:dyDescent="0.3">
      <c r="A74" s="44" t="s">
        <v>864</v>
      </c>
      <c r="B74" s="47" t="s">
        <v>1365</v>
      </c>
      <c r="C74" t="s">
        <v>864</v>
      </c>
      <c r="E74" t="str" cm="1">
        <f t="array" ref="E74">IF(IsBlackTotalCell(B74),_xlfn.CONCAT(BuildReportIdText(A74),"=sum"),C74)</f>
        <v>NUT_TX_U5MN_SAM_died_TSFP_2=sum</v>
      </c>
    </row>
    <row r="75" spans="1:5" ht="15.75" thickBot="1" x14ac:dyDescent="0.3">
      <c r="A75" s="44" t="s">
        <v>866</v>
      </c>
      <c r="B75" s="47" t="s">
        <v>1370</v>
      </c>
      <c r="C75" t="s">
        <v>866</v>
      </c>
      <c r="E75" t="str" cm="1">
        <f t="array" ref="E75">IF(IsBlackTotalCell(B75),_xlfn.CONCAT(BuildReportIdText(A75),"=sum"),C75)</f>
        <v>NUT_TX_U5MN_SAM_TO_TSFP_3=sum</v>
      </c>
    </row>
    <row r="76" spans="1:5" ht="15.75" thickBot="1" x14ac:dyDescent="0.3">
      <c r="A76" s="44" t="s">
        <v>868</v>
      </c>
      <c r="B76" s="47" t="s">
        <v>1375</v>
      </c>
      <c r="C76" t="s">
        <v>868</v>
      </c>
      <c r="E76" t="str" cm="1">
        <f t="array" ref="E76">IF(IsBlackTotalCell(B76),_xlfn.CONCAT(BuildReportIdText(A76),"=sum"),C76)</f>
        <v>NUT_TX_U5MN_SAM_Def_TSFP_4=sum</v>
      </c>
    </row>
    <row r="77" spans="1:5" ht="15.75" thickBot="1" x14ac:dyDescent="0.3">
      <c r="A77" s="44" t="s">
        <v>870</v>
      </c>
      <c r="B77" s="47" t="s">
        <v>1380</v>
      </c>
      <c r="C77" t="s">
        <v>870</v>
      </c>
      <c r="E77" t="str" cm="1">
        <f t="array" ref="E77">IF(IsBlackTotalCell(B77),_xlfn.CONCAT(BuildReportIdText(A77),"=sum"),C77)</f>
        <v>NUT_TX_U5MN_SAM_NR_TSFP_5=sum</v>
      </c>
    </row>
    <row r="78" spans="1:5" ht="27" x14ac:dyDescent="0.25">
      <c r="A78" s="48" t="s">
        <v>872</v>
      </c>
      <c r="B78" s="49" t="s">
        <v>1305</v>
      </c>
      <c r="C78" t="s">
        <v>872</v>
      </c>
      <c r="E78" t="str" cm="1">
        <f t="array" ref="E78">IF(IsBlackTotalCell(B78),_xlfn.CONCAT(BuildReportIdText(A78),"=sum"),C78)</f>
        <v>NUT_TX_U5MN__SAM_Ext_TSFP_E=sum</v>
      </c>
    </row>
    <row r="79" spans="1:5" ht="15.75" thickBot="1" x14ac:dyDescent="0.3">
      <c r="A79" s="38" t="s">
        <v>874</v>
      </c>
      <c r="B79" s="39" t="s">
        <v>1302</v>
      </c>
      <c r="C79" t="s">
        <v>874</v>
      </c>
      <c r="E79" t="str" cm="1">
        <f t="array" ref="E79">IF(IsBlackTotalCell(B79),_xlfn.CONCAT(BuildReportIdText(A79),"=sum"),C79)</f>
        <v>NUT_TX_U5MN_MAM_Beging_OTP=sum</v>
      </c>
    </row>
    <row r="80" spans="1:5" ht="15.75" thickBot="1" x14ac:dyDescent="0.3">
      <c r="A80" s="38" t="s">
        <v>876</v>
      </c>
      <c r="B80" s="39" t="s">
        <v>1392</v>
      </c>
      <c r="C80" t="s">
        <v>876</v>
      </c>
      <c r="E80" t="str" cm="1">
        <f t="array" ref="E80">IF(IsBlackTotalCell(B80),_xlfn.CONCAT(BuildReportIdText(A80),"=sum"),C80)</f>
        <v>NUT_TX_U5MN_MAM_Adt_OTP=sum</v>
      </c>
    </row>
    <row r="81" spans="1:5" ht="15.75" thickBot="1" x14ac:dyDescent="0.3">
      <c r="A81" s="51" t="s">
        <v>878</v>
      </c>
      <c r="B81" s="51" t="s">
        <v>1393</v>
      </c>
      <c r="C81" t="s">
        <v>878</v>
      </c>
      <c r="E81" t="str" cm="1">
        <f t="array" ref="E81">IF(IsBlackTotalCell(B81),_xlfn.CONCAT(BuildReportIdText(A81),"=sum"),C81)</f>
        <v>NUT_TX_U5MN_Cur_TSFP_1=sum</v>
      </c>
    </row>
    <row r="82" spans="1:5" ht="15.75" thickBot="1" x14ac:dyDescent="0.3">
      <c r="A82" s="51" t="s">
        <v>880</v>
      </c>
      <c r="B82" s="51" t="s">
        <v>1394</v>
      </c>
      <c r="C82" t="s">
        <v>880</v>
      </c>
      <c r="E82" t="str" cm="1">
        <f t="array" ref="E82">IF(IsBlackTotalCell(B82),_xlfn.CONCAT(BuildReportIdText(A82),"=sum"),C82)</f>
        <v>NUT_TX_U5MN_died_TSFP_2=sum</v>
      </c>
    </row>
    <row r="83" spans="1:5" ht="15.75" thickBot="1" x14ac:dyDescent="0.3">
      <c r="A83" s="51" t="s">
        <v>882</v>
      </c>
      <c r="B83" s="51" t="s">
        <v>1395</v>
      </c>
      <c r="C83" t="s">
        <v>882</v>
      </c>
      <c r="E83" t="str" cm="1">
        <f t="array" ref="E83">IF(IsBlackTotalCell(B83),_xlfn.CONCAT(BuildReportIdText(A83),"=sum"),C83)</f>
        <v>NUT_TX_U5MN_TO_TSFP_3=sum</v>
      </c>
    </row>
    <row r="84" spans="1:5" ht="15.75" thickBot="1" x14ac:dyDescent="0.3">
      <c r="A84" s="51" t="s">
        <v>1396</v>
      </c>
      <c r="B84" s="51" t="s">
        <v>1397</v>
      </c>
      <c r="C84" t="s">
        <v>884</v>
      </c>
      <c r="E84" t="str" cm="1">
        <f t="array" ref="E84">IF(IsBlackTotalCell(B84),_xlfn.CONCAT(BuildReportIdText(A84),"=sum"),C84)</f>
        <v>NUT_TX_U5MN__Def_TSFP_4=sum</v>
      </c>
    </row>
    <row r="85" spans="1:5" ht="15.75" thickBot="1" x14ac:dyDescent="0.3">
      <c r="A85" s="51" t="s">
        <v>1398</v>
      </c>
      <c r="B85" s="51" t="s">
        <v>1399</v>
      </c>
      <c r="C85" t="s">
        <v>886</v>
      </c>
      <c r="E85" t="str" cm="1">
        <f t="array" ref="E85">IF(IsBlackTotalCell(B85),_xlfn.CONCAT(BuildReportIdText(A85),"=sum"),C85)</f>
        <v>NUT_TX_U5MN_MAM__NR_TSFP_5=sum</v>
      </c>
    </row>
    <row r="86" spans="1:5" ht="15.75" thickBot="1" x14ac:dyDescent="0.3">
      <c r="A86" s="38" t="s">
        <v>888</v>
      </c>
      <c r="B86" s="39" t="s">
        <v>1400</v>
      </c>
      <c r="C86" t="s">
        <v>888</v>
      </c>
      <c r="E86" t="str" cm="1">
        <f t="array" ref="E86">IF(IsBlackTotalCell(B86),_xlfn.CONCAT(BuildReportIdText(A86),"=sum"),C86)</f>
        <v>NUT_TX_U5MN_MAM_Ext_TSFP_E=sum</v>
      </c>
    </row>
    <row r="87" spans="1:5" ht="59.25" thickBot="1" x14ac:dyDescent="0.3">
      <c r="A87" s="70" t="s">
        <v>1297</v>
      </c>
      <c r="B87" s="71" t="s">
        <v>1298</v>
      </c>
      <c r="C87" s="57" t="s">
        <v>892</v>
      </c>
      <c r="E87" s="57" t="s">
        <v>892</v>
      </c>
    </row>
    <row r="88" spans="1:5" ht="15.75" thickBot="1" x14ac:dyDescent="0.3">
      <c r="A88" s="70" t="s">
        <v>1303</v>
      </c>
      <c r="B88" s="71" t="s">
        <v>1304</v>
      </c>
      <c r="C88" t="s">
        <v>894</v>
      </c>
      <c r="E88" t="s">
        <v>894</v>
      </c>
    </row>
  </sheetData>
  <conditionalFormatting sqref="C1:C86 C89:C1048576">
    <cfRule type="duplicateValues" dxfId="2" priority="3"/>
  </conditionalFormatting>
  <conditionalFormatting sqref="C88">
    <cfRule type="duplicateValues" dxfId="1" priority="2"/>
  </conditionalFormatting>
  <conditionalFormatting sqref="E88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working space</vt:lpstr>
      <vt:lpstr>ordering</vt:lpstr>
      <vt:lpstr>Temp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asne</dc:creator>
  <cp:lastModifiedBy>andy asne</cp:lastModifiedBy>
  <dcterms:created xsi:type="dcterms:W3CDTF">2024-05-08T13:00:40Z</dcterms:created>
  <dcterms:modified xsi:type="dcterms:W3CDTF">2025-01-20T12:35:35Z</dcterms:modified>
</cp:coreProperties>
</file>